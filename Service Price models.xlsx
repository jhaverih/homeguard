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es\homeguard\"/>
    </mc:Choice>
  </mc:AlternateContent>
  <xr:revisionPtr revIDLastSave="0" documentId="13_ncr:1_{67D1E818-E4DB-473A-9620-B9D363D8A452}" xr6:coauthVersionLast="47" xr6:coauthVersionMax="47" xr10:uidLastSave="{00000000-0000-0000-0000-000000000000}"/>
  <bookViews>
    <workbookView xWindow="-98" yWindow="-98" windowWidth="21795" windowHeight="13875" xr2:uid="{3D43916A-4113-4755-B46E-CCCBFA878C72}"/>
  </bookViews>
  <sheets>
    <sheet name="Service prices" sheetId="1" r:id="rId1"/>
    <sheet name="QUoted services" sheetId="2" r:id="rId2"/>
    <sheet name="Marketplace Rules" sheetId="3" r:id="rId3"/>
  </sheets>
  <definedNames>
    <definedName name="_xlnm._FilterDatabase" localSheetId="0" hidden="1">'Service prices'!$A$1:$O$53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2" i="1" l="1"/>
  <c r="M50" i="1"/>
  <c r="M43" i="1"/>
  <c r="M42" i="1"/>
  <c r="M39" i="1"/>
  <c r="M38" i="1"/>
  <c r="M36" i="1"/>
  <c r="M33" i="1"/>
  <c r="M29" i="1"/>
  <c r="M25" i="1"/>
  <c r="M19" i="1"/>
  <c r="M7" i="1"/>
  <c r="M5" i="1"/>
  <c r="L53" i="1"/>
  <c r="M53" i="1" s="1"/>
  <c r="J53" i="1"/>
  <c r="L51" i="1"/>
  <c r="M51" i="1" s="1"/>
  <c r="J51" i="1"/>
  <c r="L49" i="1"/>
  <c r="M49" i="1" s="1"/>
  <c r="J49" i="1"/>
  <c r="L47" i="1"/>
  <c r="M47" i="1" s="1"/>
  <c r="J47" i="1"/>
  <c r="L46" i="1"/>
  <c r="M46" i="1" s="1"/>
  <c r="J46" i="1"/>
  <c r="L48" i="1"/>
  <c r="M48" i="1" s="1"/>
  <c r="J48" i="1"/>
  <c r="L45" i="1"/>
  <c r="M45" i="1" s="1"/>
  <c r="J45" i="1"/>
  <c r="L44" i="1"/>
  <c r="M44" i="1" s="1"/>
  <c r="J44" i="1"/>
  <c r="L41" i="1"/>
  <c r="M41" i="1" s="1"/>
  <c r="J41" i="1"/>
  <c r="L40" i="1"/>
  <c r="M40" i="1" s="1"/>
  <c r="J40" i="1"/>
  <c r="J37" i="1"/>
  <c r="L37" i="1" s="1"/>
  <c r="M37" i="1" s="1"/>
  <c r="L35" i="1"/>
  <c r="M35" i="1" s="1"/>
  <c r="J35" i="1"/>
  <c r="L34" i="1"/>
  <c r="M34" i="1" s="1"/>
  <c r="J34" i="1"/>
  <c r="L32" i="1"/>
  <c r="M32" i="1" s="1"/>
  <c r="J32" i="1"/>
  <c r="L31" i="1"/>
  <c r="M31" i="1" s="1"/>
  <c r="J31" i="1"/>
  <c r="L30" i="1"/>
  <c r="M30" i="1" s="1"/>
  <c r="J30" i="1"/>
  <c r="L28" i="1"/>
  <c r="M28" i="1" s="1"/>
  <c r="J28" i="1"/>
  <c r="L27" i="1"/>
  <c r="M27" i="1" s="1"/>
  <c r="J27" i="1"/>
  <c r="L26" i="1"/>
  <c r="M26" i="1" s="1"/>
  <c r="J26" i="1"/>
  <c r="L24" i="1"/>
  <c r="M24" i="1" s="1"/>
  <c r="J24" i="1"/>
  <c r="L23" i="1"/>
  <c r="M23" i="1" s="1"/>
  <c r="J23" i="1"/>
  <c r="L22" i="1"/>
  <c r="M22" i="1" s="1"/>
  <c r="J22" i="1"/>
  <c r="L21" i="1"/>
  <c r="M21" i="1" s="1"/>
  <c r="J21" i="1"/>
  <c r="L20" i="1"/>
  <c r="M20" i="1" s="1"/>
  <c r="J20" i="1"/>
  <c r="L18" i="1"/>
  <c r="M18" i="1" s="1"/>
  <c r="J18" i="1"/>
  <c r="L17" i="1"/>
  <c r="M17" i="1" s="1"/>
  <c r="J17" i="1"/>
  <c r="L16" i="1"/>
  <c r="M16" i="1" s="1"/>
  <c r="J16" i="1"/>
  <c r="L15" i="1"/>
  <c r="M15" i="1" s="1"/>
  <c r="J15" i="1"/>
  <c r="L14" i="1"/>
  <c r="M14" i="1" s="1"/>
  <c r="J14" i="1"/>
  <c r="L13" i="1"/>
  <c r="M13" i="1" s="1"/>
  <c r="J13" i="1"/>
  <c r="L12" i="1"/>
  <c r="M12" i="1" s="1"/>
  <c r="J12" i="1"/>
  <c r="L11" i="1"/>
  <c r="M11" i="1" s="1"/>
  <c r="J11" i="1"/>
  <c r="L10" i="1"/>
  <c r="M10" i="1" s="1"/>
  <c r="J10" i="1"/>
  <c r="L9" i="1"/>
  <c r="M9" i="1" s="1"/>
  <c r="J9" i="1"/>
  <c r="L8" i="1"/>
  <c r="M8" i="1" s="1"/>
  <c r="J8" i="1"/>
  <c r="L6" i="1"/>
  <c r="M6" i="1" s="1"/>
  <c r="J6" i="1"/>
  <c r="L4" i="1"/>
  <c r="M4" i="1" s="1"/>
  <c r="L2" i="1"/>
  <c r="H3" i="1"/>
  <c r="L3" i="1" s="1"/>
  <c r="M3" i="1" s="1"/>
  <c r="M2" i="1" l="1"/>
  <c r="N2" i="1"/>
</calcChain>
</file>

<file path=xl/sharedStrings.xml><?xml version="1.0" encoding="utf-8"?>
<sst xmlns="http://schemas.openxmlformats.org/spreadsheetml/2006/main" count="293" uniqueCount="217">
  <si>
    <t>Service</t>
  </si>
  <si>
    <t>Description of Work Included</t>
  </si>
  <si>
    <t>Subcontractor Minimum Payout</t>
  </si>
  <si>
    <t>Volume Discount</t>
  </si>
  <si>
    <t>Customer Selling Price</t>
  </si>
  <si>
    <t>General Handyman Visit</t>
  </si>
  <si>
    <t>General repairs and punch-list work</t>
  </si>
  <si>
    <t>Drywall Patch (Small)</t>
  </si>
  <si>
    <t>Repair nail holes, anchors, dents up to 2"</t>
  </si>
  <si>
    <t>Medium Drywall Repair</t>
  </si>
  <si>
    <t>Repair holes 2–8", mud, sand, prime</t>
  </si>
  <si>
    <t>Large Drywall Repair</t>
  </si>
  <si>
    <t>Replace drywall sections, tape, finish</t>
  </si>
  <si>
    <t>Quote</t>
  </si>
  <si>
    <t>Per repair</t>
  </si>
  <si>
    <t>Based on SF</t>
  </si>
  <si>
    <t>Room discounts</t>
  </si>
  <si>
    <t>$399–1,800</t>
  </si>
  <si>
    <t>35–45%</t>
  </si>
  <si>
    <t>Wallpaper Removal</t>
  </si>
  <si>
    <t>Remove wallpaper and adhesive residue</t>
  </si>
  <si>
    <t>$1–1.50/SF</t>
  </si>
  <si>
    <t>Interior Painting</t>
  </si>
  <si>
    <t>Prep and paint walls</t>
  </si>
  <si>
    <t>Whole-house pricing</t>
  </si>
  <si>
    <t>Baseboards &amp; Trim</t>
  </si>
  <si>
    <t>Install or replace trim and moldings</t>
  </si>
  <si>
    <t>Weather Stripping</t>
  </si>
  <si>
    <t>Replace worn seals around doors/windows</t>
  </si>
  <si>
    <t>Install knobs, pulls, hinges</t>
  </si>
  <si>
    <t>Light Fixture Replacement</t>
  </si>
  <si>
    <t>Replace existing light fixture</t>
  </si>
  <si>
    <t>Ceiling Fan Replacement</t>
  </si>
  <si>
    <t>Replace existing fan</t>
  </si>
  <si>
    <t>Outlet/Switch Replacement</t>
  </si>
  <si>
    <t>Replace existing devices</t>
  </si>
  <si>
    <t>Smart Device Installation</t>
  </si>
  <si>
    <t>Install cameras, thermostats, doorbells</t>
  </si>
  <si>
    <t>Smoke/CO Detectors</t>
  </si>
  <si>
    <t>Install replacement detectors</t>
  </si>
  <si>
    <t>Faucet Replacement</t>
  </si>
  <si>
    <t>Replace existing faucet</t>
  </si>
  <si>
    <t>Showerhead Installation</t>
  </si>
  <si>
    <t>Replace showerhead</t>
  </si>
  <si>
    <t>Toilet Repair</t>
  </si>
  <si>
    <t>Replace internal toilet components</t>
  </si>
  <si>
    <t>Recaulking</t>
  </si>
  <si>
    <t>Remove and replace caulk</t>
  </si>
  <si>
    <t>Whole bath package</t>
  </si>
  <si>
    <t>TV Mounting</t>
  </si>
  <si>
    <t>Install mount and hang TV</t>
  </si>
  <si>
    <t>Blinds &amp; Curtains</t>
  </si>
  <si>
    <t>Install rods, blinds, shades</t>
  </si>
  <si>
    <t>Mirrors &amp; Artwork</t>
  </si>
  <si>
    <t>Secure mounting of décor</t>
  </si>
  <si>
    <t>Shelving Installation</t>
  </si>
  <si>
    <t>Install shelving systems</t>
  </si>
  <si>
    <t>Grab Bars</t>
  </si>
  <si>
    <t>Install safety grab bars</t>
  </si>
  <si>
    <t>Furniture Assembly</t>
  </si>
  <si>
    <t>Assemble customer-provided furniture</t>
  </si>
  <si>
    <t>Complexity based</t>
  </si>
  <si>
    <t>Bundle pricing</t>
  </si>
  <si>
    <t>Door Repairs</t>
  </si>
  <si>
    <t>Adjust or repair doors</t>
  </si>
  <si>
    <t>Lock Installation</t>
  </si>
  <si>
    <t>Install locksets/deadbolts</t>
  </si>
  <si>
    <t>Window Screen Repair</t>
  </si>
  <si>
    <t>Replace screen mesh/frame</t>
  </si>
  <si>
    <t>Pet Door Installation</t>
  </si>
  <si>
    <t>Cut opening and install pet door</t>
  </si>
  <si>
    <t>N/A</t>
  </si>
  <si>
    <t>Gutter Cleaning</t>
  </si>
  <si>
    <t>Remove debris and flush downspouts</t>
  </si>
  <si>
    <t>Pressure Washing</t>
  </si>
  <si>
    <t>Wash surfaces using pressure equipment</t>
  </si>
  <si>
    <t>Fence Repairs</t>
  </si>
  <si>
    <t>Replace pickets and hardware</t>
  </si>
  <si>
    <t>Deck Board Replacement</t>
  </si>
  <si>
    <t>Replace damaged deck boards</t>
  </si>
  <si>
    <t>$25/board</t>
  </si>
  <si>
    <t>Large projects quoted</t>
  </si>
  <si>
    <t>Tile Replacement</t>
  </si>
  <si>
    <t>Replace damaged tiles</t>
  </si>
  <si>
    <t>Regrouting</t>
  </si>
  <si>
    <t>Remove and replace grout</t>
  </si>
  <si>
    <t>Carpet Stretching</t>
  </si>
  <si>
    <t>Re-stretch loose carpet</t>
  </si>
  <si>
    <t>One room</t>
  </si>
  <si>
    <t>Whole-house discount</t>
  </si>
  <si>
    <t>Window Repairs</t>
  </si>
  <si>
    <t>Repair balances, tracks, hardware</t>
  </si>
  <si>
    <t>First window</t>
  </si>
  <si>
    <t>Closet Shelving</t>
  </si>
  <si>
    <t>Install closet organization systems</t>
  </si>
  <si>
    <t>Basic system</t>
  </si>
  <si>
    <t>Custom</t>
  </si>
  <si>
    <t>Multi-closet pricing</t>
  </si>
  <si>
    <t>Garage Shelving</t>
  </si>
  <si>
    <t>Install garage storage systems</t>
  </si>
  <si>
    <t>One section</t>
  </si>
  <si>
    <t>$80 each</t>
  </si>
  <si>
    <t>Multi-section discount</t>
  </si>
  <si>
    <t>Backsplash Installation</t>
  </si>
  <si>
    <t>Install tile backsplash</t>
  </si>
  <si>
    <t>Bathroom Accessories</t>
  </si>
  <si>
    <t>Install towel bars, hooks, mirrors</t>
  </si>
  <si>
    <t>Garage Door Maintenance</t>
  </si>
  <si>
    <t>Lubricate and adjust door hardware</t>
  </si>
  <si>
    <t>One door</t>
  </si>
  <si>
    <t>Multi-door pricing</t>
  </si>
  <si>
    <t>Attic Ladder Replacement</t>
  </si>
  <si>
    <t>Replace attic ladder</t>
  </si>
  <si>
    <t>Siding Repair</t>
  </si>
  <si>
    <t>Replace damaged siding panels</t>
  </si>
  <si>
    <t>Soffit/Fascia Repair</t>
  </si>
  <si>
    <t>Replace damaged trim boards</t>
  </si>
  <si>
    <t>Mailbox Installation</t>
  </si>
  <si>
    <t>Install mailbox and post</t>
  </si>
  <si>
    <t>Porch Swing Installation</t>
  </si>
  <si>
    <t>Install porch swing hardware</t>
  </si>
  <si>
    <t>Exterior Light Installation</t>
  </si>
  <si>
    <t>Replace exterior fixture</t>
  </si>
  <si>
    <t>Pipe Insulation</t>
  </si>
  <si>
    <t>Install pipe insulation sleeves</t>
  </si>
  <si>
    <t>Stair Handrail Installation</t>
  </si>
  <si>
    <t>Install stair handrails</t>
  </si>
  <si>
    <t>Multi-stair discounts</t>
  </si>
  <si>
    <t>Dryer Vent Cleaning</t>
  </si>
  <si>
    <t>Clean vent and inspect airflow</t>
  </si>
  <si>
    <t>Exercise Equipment Assembly</t>
  </si>
  <si>
    <t>Assemble fitness equipment</t>
  </si>
  <si>
    <t>Small equipment</t>
  </si>
  <si>
    <t>Fireplace Mantel Installation</t>
  </si>
  <si>
    <t>Install decorative mantel</t>
  </si>
  <si>
    <t>Quote-Based Services</t>
  </si>
  <si>
    <t>Typical Sub Cost</t>
  </si>
  <si>
    <t>Typical Customer Price</t>
  </si>
  <si>
    <t>Gross Margin</t>
  </si>
  <si>
    <t>Large Deck Repairs</t>
  </si>
  <si>
    <t>$300–2,500</t>
  </si>
  <si>
    <t>$600–4,500</t>
  </si>
  <si>
    <t>Pergola Assembly</t>
  </si>
  <si>
    <t>$400–1,500</t>
  </si>
  <si>
    <t>$700–2,750</t>
  </si>
  <si>
    <t>Gazebo Assembly</t>
  </si>
  <si>
    <t>$500–2,000</t>
  </si>
  <si>
    <t>$900–3,500</t>
  </si>
  <si>
    <t>Crawlspace Repairs</t>
  </si>
  <si>
    <t>$500–5,000</t>
  </si>
  <si>
    <t>$900–8,000</t>
  </si>
  <si>
    <t>35–40%</t>
  </si>
  <si>
    <t>Accessibility Modifications</t>
  </si>
  <si>
    <t>$500–10,000</t>
  </si>
  <si>
    <t>$900–16,000</t>
  </si>
  <si>
    <t>Wheelchair Ramp Installation</t>
  </si>
  <si>
    <t>$1,000–5,000</t>
  </si>
  <si>
    <t>$1,800–8,500</t>
  </si>
  <si>
    <t>Whole-House Painting</t>
  </si>
  <si>
    <t>$1,200–6,000</t>
  </si>
  <si>
    <t>$2,000–10,000</t>
  </si>
  <si>
    <t>Seasonal Maintenance Package</t>
  </si>
  <si>
    <t>$200–750</t>
  </si>
  <si>
    <t>$399–1,250</t>
  </si>
  <si>
    <t>Recommended Marketplace Rules</t>
  </si>
  <si>
    <t>Job Cost to You</t>
  </si>
  <si>
    <t>Suggested Customer Multiplier</t>
  </si>
  <si>
    <t>move</t>
  </si>
  <si>
    <t>Markup</t>
  </si>
  <si>
    <t>Cost</t>
  </si>
  <si>
    <t>Unit Label</t>
  </si>
  <si>
    <t>Per Unit</t>
  </si>
  <si>
    <t>Min Qty</t>
  </si>
  <si>
    <t>Pricing Method</t>
  </si>
  <si>
    <t>Hour</t>
  </si>
  <si>
    <t>Hole</t>
  </si>
  <si>
    <t>Fixture</t>
  </si>
  <si>
    <t>Fan</t>
  </si>
  <si>
    <t>Device</t>
  </si>
  <si>
    <t>Volume Discount Threshold</t>
  </si>
  <si>
    <t>Input</t>
  </si>
  <si>
    <t>Include</t>
  </si>
  <si>
    <t>Base Rate per Unit</t>
  </si>
  <si>
    <t>Request Quote</t>
  </si>
  <si>
    <t>Sq-Ft</t>
  </si>
  <si>
    <t>Linear Feet</t>
  </si>
  <si>
    <t>Windows/doors</t>
  </si>
  <si>
    <t>pieces</t>
  </si>
  <si>
    <t>Faucet</t>
  </si>
  <si>
    <t>Detector</t>
  </si>
  <si>
    <t>Unit</t>
  </si>
  <si>
    <t>Toilet</t>
  </si>
  <si>
    <t>Packag</t>
  </si>
  <si>
    <t>Window</t>
  </si>
  <si>
    <t>Item</t>
  </si>
  <si>
    <t>Shelve</t>
  </si>
  <si>
    <t>Bar</t>
  </si>
  <si>
    <t>Pricin</t>
  </si>
  <si>
    <t>Door</t>
  </si>
  <si>
    <t>Lock</t>
  </si>
  <si>
    <t>Screen</t>
  </si>
  <si>
    <t>Picket</t>
  </si>
  <si>
    <t>Tile</t>
  </si>
  <si>
    <t>Discoun</t>
  </si>
  <si>
    <t>Panel</t>
  </si>
  <si>
    <t>Pricing</t>
  </si>
  <si>
    <t>LF</t>
  </si>
  <si>
    <t>Room</t>
  </si>
  <si>
    <t>Ladder</t>
  </si>
  <si>
    <t>Mailbox</t>
  </si>
  <si>
    <t>Swing</t>
  </si>
  <si>
    <t>Trim Board</t>
  </si>
  <si>
    <t>Staircase</t>
  </si>
  <si>
    <t>vent</t>
  </si>
  <si>
    <t>Mantel</t>
  </si>
  <si>
    <t>Pet Door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</si>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</sst>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A4BD-5554-43C0-96C4-1B81CE5C8B6C}">
  <sheetPr filterMode="1"/>
  <dimension ref="A1:N53"/>
  <sheetViews>
    <sheetView tabSelected="1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defaultColWidth="18.3984375" defaultRowHeight="14.25" x14ac:dyDescent="0.45"/>
  <sheetData>
    <row r="1" spans="1:14" ht="28.5" x14ac:dyDescent="0.45">
      <c r="A1" s="1" t="s">
        <v>0</v>
      </c>
      <c r="B1" s="1" t="s">
        <v>1</v>
      </c>
      <c r="C1" s="1" t="s">
        <v>173</v>
      </c>
      <c r="D1" s="1" t="s">
        <v>170</v>
      </c>
      <c r="E1" s="1" t="s">
        <v>172</v>
      </c>
      <c r="F1" s="1" t="s">
        <v>2</v>
      </c>
      <c r="G1" s="1" t="s">
        <v>181</v>
      </c>
      <c r="H1" s="1" t="s">
        <v>182</v>
      </c>
      <c r="I1" s="1" t="s">
        <v>179</v>
      </c>
      <c r="J1" s="1" t="s">
        <v>3</v>
      </c>
      <c r="K1" s="8" t="s">
        <v>180</v>
      </c>
      <c r="L1" s="1" t="s">
        <v>169</v>
      </c>
      <c r="M1" s="1" t="s">
        <v>168</v>
      </c>
      <c r="N1" s="1" t="s">
        <v>4</v>
      </c>
    </row>
    <row r="2" spans="1:14" ht="28.5" x14ac:dyDescent="0.45">
      <c r="A2" s="2" t="s">
        <v>5</v>
      </c>
      <c r="B2" s="2" t="s">
        <v>6</v>
      </c>
      <c r="C2" s="2" t="s">
        <v>171</v>
      </c>
      <c r="D2" s="2" t="s">
        <v>174</v>
      </c>
      <c r="E2" s="2">
        <v>1</v>
      </c>
      <c r="F2" s="4">
        <v>70</v>
      </c>
      <c r="G2" s="2">
        <v>1</v>
      </c>
      <c r="H2" s="2">
        <v>70</v>
      </c>
      <c r="I2" s="2">
        <v>1</v>
      </c>
      <c r="J2" s="2">
        <v>60</v>
      </c>
      <c r="K2" s="2">
        <v>4</v>
      </c>
      <c r="L2" s="3">
        <f>F2+IF((I2&gt;G2),IF(K2&gt;G2,(K2-G2)*H2,0),IF(K2&gt;I2,(K2-I2),0)*J2)</f>
        <v>250</v>
      </c>
      <c r="M2" s="5">
        <f>IF(L2&lt;'Marketplace Rules'!$A$4,'Marketplace Rules'!$B$4,IF(L2&lt;'Marketplace Rules'!$A$5,'Marketplace Rules'!$B$5,IF(L2&lt;'Marketplace Rules'!$A$6,'Marketplace Rules'!$B$6,'Marketplace Rules'!$B$7)))-1</f>
        <v>0.14999999999999991</v>
      </c>
      <c r="N2" s="4">
        <f>L2*(1+M2)</f>
        <v>287.5</v>
      </c>
    </row>
    <row r="3" spans="1:14" ht="42.75" x14ac:dyDescent="0.45">
      <c r="A3" s="2" t="s">
        <v>7</v>
      </c>
      <c r="B3" s="2" t="s">
        <v>8</v>
      </c>
      <c r="C3" s="2" t="s">
        <v>171</v>
      </c>
      <c r="D3" s="2" t="s">
        <v>175</v>
      </c>
      <c r="E3" s="2">
        <v>1</v>
      </c>
      <c r="F3" s="4">
        <v>70</v>
      </c>
      <c r="G3" s="2">
        <v>3</v>
      </c>
      <c r="H3" s="9">
        <f>F3/G3</f>
        <v>23.333333333333332</v>
      </c>
      <c r="I3" s="2">
        <v>11</v>
      </c>
      <c r="J3" s="2">
        <v>10</v>
      </c>
      <c r="K3" s="2">
        <v>4</v>
      </c>
      <c r="L3" s="3">
        <f>F3+IF((I3&gt;G3),IF(K3&gt;G3,(K3-G3)*H3,0),IF(K3&gt;I3,(K3-I3),0)*J3)</f>
        <v>93.333333333333329</v>
      </c>
      <c r="M3" s="5">
        <f>IF(L3&lt;'Marketplace Rules'!$A$4,'Marketplace Rules'!$B$4,IF(L3&lt;'Marketplace Rules'!$A$5,'Marketplace Rules'!$B$5,IF(L3&lt;'Marketplace Rules'!$A$6,'Marketplace Rules'!$B$6,'Marketplace Rules'!$B$7)))-1</f>
        <v>0.14999999999999991</v>
      </c>
      <c r="N3" s="4">
        <v>129</v>
      </c>
    </row>
    <row r="4" spans="1:14" ht="28.5" x14ac:dyDescent="0.45">
      <c r="A4" s="2" t="s">
        <v>9</v>
      </c>
      <c r="B4" s="2" t="s">
        <v>10</v>
      </c>
      <c r="C4" s="2" t="s">
        <v>171</v>
      </c>
      <c r="D4" s="2" t="s">
        <v>175</v>
      </c>
      <c r="E4" s="2">
        <v>1</v>
      </c>
      <c r="F4" s="4">
        <v>80</v>
      </c>
      <c r="G4" s="2">
        <v>1</v>
      </c>
      <c r="H4" s="2">
        <v>75</v>
      </c>
      <c r="I4" s="2">
        <v>5</v>
      </c>
      <c r="J4" s="2">
        <v>50</v>
      </c>
      <c r="K4" s="2">
        <v>4</v>
      </c>
      <c r="L4" s="3">
        <f>F4+IF((I4&gt;G4),IF(K4&gt;G4,(K4-G4)*H4,0),IF(K4&gt;I4,(K4-I4),0)*J4)</f>
        <v>305</v>
      </c>
      <c r="M4" s="5">
        <f>IF(L4&lt;'Marketplace Rules'!$A$4,'Marketplace Rules'!$B$4,IF(L4&lt;'Marketplace Rules'!$A$5,'Marketplace Rules'!$B$5,IF(L4&lt;'Marketplace Rules'!$A$6,'Marketplace Rules'!$B$6,'Marketplace Rules'!$B$7)))-1</f>
        <v>0.14999999999999991</v>
      </c>
      <c r="N4" s="4">
        <v>149</v>
      </c>
    </row>
    <row r="5" spans="1:14" s="11" customFormat="1" ht="28.5" hidden="1" x14ac:dyDescent="0.45">
      <c r="A5" s="10" t="s">
        <v>11</v>
      </c>
      <c r="B5" s="10" t="s">
        <v>12</v>
      </c>
      <c r="C5" s="10" t="s">
        <v>183</v>
      </c>
      <c r="D5" s="10"/>
      <c r="E5" s="10"/>
      <c r="F5" s="10" t="s">
        <v>13</v>
      </c>
      <c r="G5" s="10" t="s">
        <v>14</v>
      </c>
      <c r="H5" s="10" t="s">
        <v>15</v>
      </c>
      <c r="I5" s="10" t="s">
        <v>16</v>
      </c>
      <c r="J5" s="10"/>
      <c r="K5" s="10"/>
      <c r="M5" s="5">
        <f>IF(L5&lt;'Marketplace Rules'!$A$4,'Marketplace Rules'!$B$4,IF(L5&lt;'Marketplace Rules'!$A$5,'Marketplace Rules'!$B$5,IF(L5&lt;'Marketplace Rules'!$A$6,'Marketplace Rules'!$B$6,'Marketplace Rules'!$B$7)))-1</f>
        <v>0.14999999999999991</v>
      </c>
      <c r="N5" s="10" t="s">
        <v>17</v>
      </c>
    </row>
    <row r="6" spans="1:14" ht="28.5" x14ac:dyDescent="0.45">
      <c r="A6" s="2" t="s">
        <v>19</v>
      </c>
      <c r="B6" s="2" t="s">
        <v>20</v>
      </c>
      <c r="C6" s="2" t="s">
        <v>171</v>
      </c>
      <c r="D6" s="2" t="s">
        <v>184</v>
      </c>
      <c r="E6" s="2">
        <v>1</v>
      </c>
      <c r="F6" s="4">
        <v>175</v>
      </c>
      <c r="G6" s="2">
        <v>100</v>
      </c>
      <c r="H6" s="2">
        <v>1.5</v>
      </c>
      <c r="I6" s="2">
        <v>500</v>
      </c>
      <c r="J6" s="2">
        <f>H6*(1-0.1)</f>
        <v>1.35</v>
      </c>
      <c r="K6" s="2">
        <v>100</v>
      </c>
      <c r="L6" s="3">
        <f>F6+IF((I6&gt;G6),IF(K6&gt;G6,(K6-G6)*H6,0),IF(K6&gt;I6,(K6-I6),0)*J6)</f>
        <v>175</v>
      </c>
      <c r="M6" s="5">
        <f>IF(L6&lt;'Marketplace Rules'!$A$4,'Marketplace Rules'!$B$4,IF(L6&lt;'Marketplace Rules'!$A$5,'Marketplace Rules'!$B$5,IF(L6&lt;'Marketplace Rules'!$A$6,'Marketplace Rules'!$B$6,'Marketplace Rules'!$B$7)))-1</f>
        <v>0.14999999999999991</v>
      </c>
      <c r="N6" s="4">
        <v>299</v>
      </c>
    </row>
    <row r="7" spans="1:14" s="11" customFormat="1" hidden="1" x14ac:dyDescent="0.45">
      <c r="A7" s="10" t="s">
        <v>22</v>
      </c>
      <c r="B7" s="10" t="s">
        <v>23</v>
      </c>
      <c r="C7" s="10" t="s">
        <v>171</v>
      </c>
      <c r="D7" s="10" t="s">
        <v>184</v>
      </c>
      <c r="E7" s="10">
        <v>1</v>
      </c>
      <c r="F7" s="12">
        <v>175</v>
      </c>
      <c r="G7" s="10">
        <v>100</v>
      </c>
      <c r="H7" s="10" t="s">
        <v>21</v>
      </c>
      <c r="I7" s="10" t="s">
        <v>24</v>
      </c>
      <c r="J7" s="10"/>
      <c r="K7" s="10"/>
      <c r="M7" s="5">
        <f>IF(L7&lt;'Marketplace Rules'!$A$4,'Marketplace Rules'!$B$4,IF(L7&lt;'Marketplace Rules'!$A$5,'Marketplace Rules'!$B$5,IF(L7&lt;'Marketplace Rules'!$A$6,'Marketplace Rules'!$B$6,'Marketplace Rules'!$B$7)))-1</f>
        <v>0.14999999999999991</v>
      </c>
      <c r="N7" s="12">
        <v>299</v>
      </c>
    </row>
    <row r="8" spans="1:14" ht="28.5" x14ac:dyDescent="0.45">
      <c r="A8" s="2" t="s">
        <v>25</v>
      </c>
      <c r="B8" s="2" t="s">
        <v>26</v>
      </c>
      <c r="C8" s="2" t="s">
        <v>171</v>
      </c>
      <c r="D8" s="2" t="s">
        <v>185</v>
      </c>
      <c r="E8" s="2">
        <v>1</v>
      </c>
      <c r="F8" s="4">
        <v>120</v>
      </c>
      <c r="G8" s="2">
        <v>30</v>
      </c>
      <c r="H8" s="2">
        <v>3</v>
      </c>
      <c r="I8" s="2">
        <v>200</v>
      </c>
      <c r="J8" s="9">
        <f>H8*0.9</f>
        <v>2.7</v>
      </c>
      <c r="K8" s="2">
        <v>100</v>
      </c>
      <c r="L8" s="3">
        <f>F8+IF((I8&gt;G8),IF(K8&gt;G8,(K8-G8)*H8,0),IF(K8&gt;I8,(K8-I8),0)*J8)</f>
        <v>330</v>
      </c>
      <c r="M8" s="5">
        <f>IF(L8&lt;'Marketplace Rules'!$A$4,'Marketplace Rules'!$B$4,IF(L8&lt;'Marketplace Rules'!$A$5,'Marketplace Rules'!$B$5,IF(L8&lt;'Marketplace Rules'!$A$6,'Marketplace Rules'!$B$6,'Marketplace Rules'!$B$7)))-1</f>
        <v>0.14999999999999991</v>
      </c>
      <c r="N8" s="4">
        <v>199</v>
      </c>
    </row>
    <row r="9" spans="1:14" ht="42.75" x14ac:dyDescent="0.45">
      <c r="A9" s="2" t="s">
        <v>27</v>
      </c>
      <c r="B9" s="2" t="s">
        <v>28</v>
      </c>
      <c r="C9" s="2" t="s">
        <v>171</v>
      </c>
      <c r="D9" s="2" t="s">
        <v>186</v>
      </c>
      <c r="E9" s="2">
        <v>1</v>
      </c>
      <c r="F9" s="4">
        <v>70</v>
      </c>
      <c r="G9" s="2">
        <v>3</v>
      </c>
      <c r="H9" s="2">
        <v>12</v>
      </c>
      <c r="I9" s="2">
        <v>10</v>
      </c>
      <c r="J9" s="2">
        <f>H9*0.9</f>
        <v>10.8</v>
      </c>
      <c r="K9" s="2">
        <v>5</v>
      </c>
      <c r="L9" s="3">
        <f>F9+IF((I9&gt;G9),IF(K9&gt;G9,(K9-G9)*H9,0),IF(K9&gt;I9,(K9-I9),0)*J9)</f>
        <v>94</v>
      </c>
      <c r="M9" s="5">
        <f>IF(L9&lt;'Marketplace Rules'!$A$4,'Marketplace Rules'!$B$4,IF(L9&lt;'Marketplace Rules'!$A$5,'Marketplace Rules'!$B$5,IF(L9&lt;'Marketplace Rules'!$A$6,'Marketplace Rules'!$B$6,'Marketplace Rules'!$B$7)))-1</f>
        <v>0.14999999999999991</v>
      </c>
      <c r="N9" s="4">
        <v>129</v>
      </c>
    </row>
    <row r="10" spans="1:14" ht="28.5" x14ac:dyDescent="0.45">
      <c r="A10" s="2" t="s">
        <v>167</v>
      </c>
      <c r="B10" s="2" t="s">
        <v>29</v>
      </c>
      <c r="C10" s="2" t="s">
        <v>171</v>
      </c>
      <c r="D10" s="2" t="s">
        <v>187</v>
      </c>
      <c r="E10" s="2">
        <v>1</v>
      </c>
      <c r="F10" s="4">
        <v>70</v>
      </c>
      <c r="G10" s="2">
        <v>10</v>
      </c>
      <c r="H10" s="2">
        <v>5</v>
      </c>
      <c r="I10" s="2">
        <v>25</v>
      </c>
      <c r="J10" s="2">
        <f>H10*0.9</f>
        <v>4.5</v>
      </c>
      <c r="K10" s="2">
        <v>5</v>
      </c>
      <c r="L10" s="3">
        <f>F10+IF((I10&gt;G10),IF(K10&gt;G10,(K10-G10)*H10,0),IF(K10&gt;I10,(K10-I10),0)*J10)</f>
        <v>70</v>
      </c>
      <c r="M10" s="5">
        <f>IF(L10&lt;'Marketplace Rules'!$A$4,'Marketplace Rules'!$B$4,IF(L10&lt;'Marketplace Rules'!$A$5,'Marketplace Rules'!$B$5,IF(L10&lt;'Marketplace Rules'!$A$6,'Marketplace Rules'!$B$6,'Marketplace Rules'!$B$7)))-1</f>
        <v>0.14999999999999991</v>
      </c>
      <c r="N10" s="4">
        <v>129</v>
      </c>
    </row>
    <row r="11" spans="1:14" ht="28.5" x14ac:dyDescent="0.45">
      <c r="A11" s="2" t="s">
        <v>30</v>
      </c>
      <c r="B11" s="2" t="s">
        <v>31</v>
      </c>
      <c r="C11" s="2" t="s">
        <v>171</v>
      </c>
      <c r="D11" s="2" t="s">
        <v>176</v>
      </c>
      <c r="E11" s="2">
        <v>1</v>
      </c>
      <c r="F11" s="4">
        <v>70</v>
      </c>
      <c r="G11" s="2">
        <v>1</v>
      </c>
      <c r="H11" s="2">
        <v>55</v>
      </c>
      <c r="I11" s="2">
        <v>5</v>
      </c>
      <c r="J11" s="2">
        <f>H11*0.9</f>
        <v>49.5</v>
      </c>
      <c r="K11" s="2">
        <v>5</v>
      </c>
      <c r="L11" s="3">
        <f>F11+IF((I11&gt;G11),IF(K11&gt;G11,(K11-G11)*H11,0),IF(K11&gt;I11,(K11-I11),0)*J11)</f>
        <v>290</v>
      </c>
      <c r="M11" s="5">
        <f>IF(L11&lt;'Marketplace Rules'!$A$4,'Marketplace Rules'!$B$4,IF(L11&lt;'Marketplace Rules'!$A$5,'Marketplace Rules'!$B$5,IF(L11&lt;'Marketplace Rules'!$A$6,'Marketplace Rules'!$B$6,'Marketplace Rules'!$B$7)))-1</f>
        <v>0.14999999999999991</v>
      </c>
      <c r="N11" s="4">
        <v>149</v>
      </c>
    </row>
    <row r="12" spans="1:14" ht="28.5" x14ac:dyDescent="0.45">
      <c r="A12" s="2" t="s">
        <v>32</v>
      </c>
      <c r="B12" s="2" t="s">
        <v>33</v>
      </c>
      <c r="C12" s="2" t="s">
        <v>171</v>
      </c>
      <c r="D12" s="2" t="s">
        <v>177</v>
      </c>
      <c r="E12" s="2">
        <v>1</v>
      </c>
      <c r="F12" s="4">
        <v>90</v>
      </c>
      <c r="G12" s="2">
        <v>1</v>
      </c>
      <c r="H12" s="2">
        <v>75</v>
      </c>
      <c r="I12" s="2">
        <v>4</v>
      </c>
      <c r="J12" s="2">
        <f>H12*0.9</f>
        <v>67.5</v>
      </c>
      <c r="K12" s="2">
        <v>5</v>
      </c>
      <c r="L12" s="3">
        <f>F12+IF((I12&gt;G12),IF(K12&gt;G12,(K12-G12)*H12,0),IF(K12&gt;I12,(K12-I12),0)*J12)</f>
        <v>390</v>
      </c>
      <c r="M12" s="5">
        <f>IF(L12&lt;'Marketplace Rules'!$A$4,'Marketplace Rules'!$B$4,IF(L12&lt;'Marketplace Rules'!$A$5,'Marketplace Rules'!$B$5,IF(L12&lt;'Marketplace Rules'!$A$6,'Marketplace Rules'!$B$6,'Marketplace Rules'!$B$7)))-1</f>
        <v>0.14999999999999991</v>
      </c>
      <c r="N12" s="4">
        <v>179</v>
      </c>
    </row>
    <row r="13" spans="1:14" ht="28.5" x14ac:dyDescent="0.45">
      <c r="A13" s="2" t="s">
        <v>34</v>
      </c>
      <c r="B13" s="2" t="s">
        <v>35</v>
      </c>
      <c r="C13" s="2" t="s">
        <v>171</v>
      </c>
      <c r="D13" s="2" t="s">
        <v>178</v>
      </c>
      <c r="E13" s="2">
        <v>1</v>
      </c>
      <c r="F13" s="4">
        <v>70</v>
      </c>
      <c r="G13" s="2">
        <v>4</v>
      </c>
      <c r="H13" s="2">
        <v>11</v>
      </c>
      <c r="I13" s="2">
        <v>20</v>
      </c>
      <c r="J13" s="2">
        <f t="shared" ref="J13:J18" si="0">H13*0.9</f>
        <v>9.9</v>
      </c>
      <c r="K13" s="2">
        <v>5</v>
      </c>
      <c r="L13" s="3">
        <f>F13+IF((I13&gt;G13),IF(K13&gt;G13,(K13-G13)*H13,0),IF(K13&gt;I13,(K13-I13),0)*J13)</f>
        <v>81</v>
      </c>
      <c r="M13" s="5">
        <f>IF(L13&lt;'Marketplace Rules'!$A$4,'Marketplace Rules'!$B$4,IF(L13&lt;'Marketplace Rules'!$A$5,'Marketplace Rules'!$B$5,IF(L13&lt;'Marketplace Rules'!$A$6,'Marketplace Rules'!$B$6,'Marketplace Rules'!$B$7)))-1</f>
        <v>0.14999999999999991</v>
      </c>
      <c r="N13" s="4">
        <v>129</v>
      </c>
    </row>
    <row r="14" spans="1:14" ht="42.75" x14ac:dyDescent="0.45">
      <c r="A14" s="2" t="s">
        <v>36</v>
      </c>
      <c r="B14" s="2" t="s">
        <v>37</v>
      </c>
      <c r="C14" s="2" t="s">
        <v>171</v>
      </c>
      <c r="D14" s="2" t="s">
        <v>178</v>
      </c>
      <c r="E14" s="2">
        <v>1</v>
      </c>
      <c r="F14" s="4">
        <v>80</v>
      </c>
      <c r="G14" s="2">
        <v>1</v>
      </c>
      <c r="H14" s="2">
        <v>45</v>
      </c>
      <c r="I14" s="2">
        <v>5</v>
      </c>
      <c r="J14" s="2">
        <f t="shared" si="0"/>
        <v>40.5</v>
      </c>
      <c r="K14" s="2">
        <v>5</v>
      </c>
      <c r="L14" s="3">
        <f>F14+IF((I14&gt;G14),IF(K14&gt;G14,(K14-G14)*H14,0),IF(K14&gt;I14,(K14-I14),0)*J14)</f>
        <v>260</v>
      </c>
      <c r="M14" s="5">
        <f>IF(L14&lt;'Marketplace Rules'!$A$4,'Marketplace Rules'!$B$4,IF(L14&lt;'Marketplace Rules'!$A$5,'Marketplace Rules'!$B$5,IF(L14&lt;'Marketplace Rules'!$A$6,'Marketplace Rules'!$B$6,'Marketplace Rules'!$B$7)))-1</f>
        <v>0.14999999999999991</v>
      </c>
      <c r="N14" s="4">
        <v>149</v>
      </c>
    </row>
    <row r="15" spans="1:14" ht="28.5" x14ac:dyDescent="0.45">
      <c r="A15" s="2" t="s">
        <v>38</v>
      </c>
      <c r="B15" s="2" t="s">
        <v>39</v>
      </c>
      <c r="C15" s="2" t="s">
        <v>171</v>
      </c>
      <c r="D15" s="2" t="s">
        <v>189</v>
      </c>
      <c r="E15" s="2">
        <v>1</v>
      </c>
      <c r="F15" s="4">
        <v>70</v>
      </c>
      <c r="G15" s="2">
        <v>4</v>
      </c>
      <c r="H15" s="2">
        <v>12</v>
      </c>
      <c r="I15" s="2">
        <v>10</v>
      </c>
      <c r="J15" s="2">
        <f t="shared" si="0"/>
        <v>10.8</v>
      </c>
      <c r="K15" s="2">
        <v>5</v>
      </c>
      <c r="L15" s="3">
        <f>F15+IF((I15&gt;G15),IF(K15&gt;G15,(K15-G15)*H15,0),IF(K15&gt;I15,(K15-I15),0)*J15)</f>
        <v>82</v>
      </c>
      <c r="M15" s="5">
        <f>IF(L15&lt;'Marketplace Rules'!$A$4,'Marketplace Rules'!$B$4,IF(L15&lt;'Marketplace Rules'!$A$5,'Marketplace Rules'!$B$5,IF(L15&lt;'Marketplace Rules'!$A$6,'Marketplace Rules'!$B$6,'Marketplace Rules'!$B$7)))-1</f>
        <v>0.14999999999999991</v>
      </c>
      <c r="N15" s="4">
        <v>129</v>
      </c>
    </row>
    <row r="16" spans="1:14" ht="28.5" x14ac:dyDescent="0.45">
      <c r="A16" s="2" t="s">
        <v>40</v>
      </c>
      <c r="B16" s="2" t="s">
        <v>41</v>
      </c>
      <c r="C16" s="2" t="s">
        <v>171</v>
      </c>
      <c r="D16" s="2" t="s">
        <v>188</v>
      </c>
      <c r="E16" s="2">
        <v>1</v>
      </c>
      <c r="F16" s="4">
        <v>90</v>
      </c>
      <c r="G16" s="2">
        <v>1</v>
      </c>
      <c r="H16" s="2">
        <v>75</v>
      </c>
      <c r="I16" s="2">
        <v>3</v>
      </c>
      <c r="J16" s="2">
        <f t="shared" si="0"/>
        <v>67.5</v>
      </c>
      <c r="K16" s="2">
        <v>5</v>
      </c>
      <c r="L16" s="3">
        <f>F16+IF((I16&gt;G16),IF(K16&gt;G16,(K16-G16)*H16,0),IF(K16&gt;I16,(K16-I16),0)*J16)</f>
        <v>390</v>
      </c>
      <c r="M16" s="5">
        <f>IF(L16&lt;'Marketplace Rules'!$A$4,'Marketplace Rules'!$B$4,IF(L16&lt;'Marketplace Rules'!$A$5,'Marketplace Rules'!$B$5,IF(L16&lt;'Marketplace Rules'!$A$6,'Marketplace Rules'!$B$6,'Marketplace Rules'!$B$7)))-1</f>
        <v>0.14999999999999991</v>
      </c>
      <c r="N16" s="4">
        <v>179</v>
      </c>
    </row>
    <row r="17" spans="1:14" ht="28.5" x14ac:dyDescent="0.45">
      <c r="A17" s="2" t="s">
        <v>42</v>
      </c>
      <c r="B17" s="2" t="s">
        <v>43</v>
      </c>
      <c r="C17" s="2" t="s">
        <v>171</v>
      </c>
      <c r="D17" s="2" t="s">
        <v>190</v>
      </c>
      <c r="E17" s="2">
        <v>1</v>
      </c>
      <c r="F17" s="4">
        <v>70</v>
      </c>
      <c r="G17" s="2">
        <v>1</v>
      </c>
      <c r="H17" s="2">
        <v>25</v>
      </c>
      <c r="I17" s="2">
        <v>5</v>
      </c>
      <c r="J17" s="2">
        <f t="shared" si="0"/>
        <v>22.5</v>
      </c>
      <c r="K17" s="2">
        <v>5</v>
      </c>
      <c r="L17" s="3">
        <f>F17+IF((I17&gt;G17),IF(K17&gt;G17,(K17-G17)*H17,0),IF(K17&gt;I17,(K17-I17),0)*J17)</f>
        <v>170</v>
      </c>
      <c r="M17" s="5">
        <f>IF(L17&lt;'Marketplace Rules'!$A$4,'Marketplace Rules'!$B$4,IF(L17&lt;'Marketplace Rules'!$A$5,'Marketplace Rules'!$B$5,IF(L17&lt;'Marketplace Rules'!$A$6,'Marketplace Rules'!$B$6,'Marketplace Rules'!$B$7)))-1</f>
        <v>0.14999999999999991</v>
      </c>
      <c r="N17" s="4">
        <v>129</v>
      </c>
    </row>
    <row r="18" spans="1:14" ht="28.5" x14ac:dyDescent="0.45">
      <c r="A18" s="2" t="s">
        <v>44</v>
      </c>
      <c r="B18" s="2" t="s">
        <v>45</v>
      </c>
      <c r="C18" s="2" t="s">
        <v>171</v>
      </c>
      <c r="D18" s="2" t="s">
        <v>191</v>
      </c>
      <c r="E18" s="2">
        <v>1</v>
      </c>
      <c r="F18" s="4">
        <v>80</v>
      </c>
      <c r="G18" s="2">
        <v>1</v>
      </c>
      <c r="H18" s="2">
        <v>60</v>
      </c>
      <c r="I18" s="2">
        <v>3</v>
      </c>
      <c r="J18" s="2">
        <f t="shared" si="0"/>
        <v>54</v>
      </c>
      <c r="K18" s="2">
        <v>5</v>
      </c>
      <c r="L18" s="3">
        <f>F18+IF((I18&gt;G18),IF(K18&gt;G18,(K18-G18)*H18,0),IF(K18&gt;I18,(K18-I18),0)*J18)</f>
        <v>320</v>
      </c>
      <c r="M18" s="5">
        <f>IF(L18&lt;'Marketplace Rules'!$A$4,'Marketplace Rules'!$B$4,IF(L18&lt;'Marketplace Rules'!$A$5,'Marketplace Rules'!$B$5,IF(L18&lt;'Marketplace Rules'!$A$6,'Marketplace Rules'!$B$6,'Marketplace Rules'!$B$7)))-1</f>
        <v>0.14999999999999991</v>
      </c>
      <c r="N18" s="4">
        <v>149</v>
      </c>
    </row>
    <row r="19" spans="1:14" ht="28.5" hidden="1" x14ac:dyDescent="0.45">
      <c r="A19" s="2" t="s">
        <v>46</v>
      </c>
      <c r="B19" s="2" t="s">
        <v>47</v>
      </c>
      <c r="C19" s="2" t="s">
        <v>171</v>
      </c>
      <c r="D19" s="2" t="s">
        <v>192</v>
      </c>
      <c r="E19" s="2">
        <v>1</v>
      </c>
      <c r="F19" s="4">
        <v>80</v>
      </c>
      <c r="G19" s="2">
        <v>1</v>
      </c>
      <c r="H19" s="2">
        <v>30</v>
      </c>
      <c r="I19" s="2" t="s">
        <v>48</v>
      </c>
      <c r="J19" s="2"/>
      <c r="K19" s="2"/>
      <c r="M19" s="5">
        <f>IF(L19&lt;'Marketplace Rules'!$A$4,'Marketplace Rules'!$B$4,IF(L19&lt;'Marketplace Rules'!$A$5,'Marketplace Rules'!$B$5,IF(L19&lt;'Marketplace Rules'!$A$6,'Marketplace Rules'!$B$6,'Marketplace Rules'!$B$7)))-1</f>
        <v>0.14999999999999991</v>
      </c>
      <c r="N19" s="4">
        <v>149</v>
      </c>
    </row>
    <row r="20" spans="1:14" ht="28.5" x14ac:dyDescent="0.45">
      <c r="A20" s="2" t="s">
        <v>49</v>
      </c>
      <c r="B20" s="2" t="s">
        <v>50</v>
      </c>
      <c r="C20" s="2" t="s">
        <v>171</v>
      </c>
      <c r="D20" s="2" t="s">
        <v>216</v>
      </c>
      <c r="E20" s="2">
        <v>1</v>
      </c>
      <c r="F20" s="4">
        <v>90</v>
      </c>
      <c r="G20" s="2">
        <v>1</v>
      </c>
      <c r="H20" s="2">
        <v>75</v>
      </c>
      <c r="I20" s="2">
        <v>4</v>
      </c>
      <c r="J20" s="2">
        <f t="shared" ref="J20:J24" si="1">H20*0.9</f>
        <v>67.5</v>
      </c>
      <c r="K20" s="2">
        <v>5</v>
      </c>
      <c r="L20" s="3">
        <f>F20+IF((I20&gt;G20),IF(K20&gt;G20,(K20-G20)*H20,0),IF(K20&gt;I20,(K20-I20),0)*J20)</f>
        <v>390</v>
      </c>
      <c r="M20" s="5">
        <f>IF(L20&lt;'Marketplace Rules'!$A$4,'Marketplace Rules'!$B$4,IF(L20&lt;'Marketplace Rules'!$A$5,'Marketplace Rules'!$B$5,IF(L20&lt;'Marketplace Rules'!$A$6,'Marketplace Rules'!$B$6,'Marketplace Rules'!$B$7)))-1</f>
        <v>0.14999999999999991</v>
      </c>
      <c r="N20" s="4">
        <v>179</v>
      </c>
    </row>
    <row r="21" spans="1:14" ht="28.5" x14ac:dyDescent="0.45">
      <c r="A21" s="2" t="s">
        <v>51</v>
      </c>
      <c r="B21" s="2" t="s">
        <v>52</v>
      </c>
      <c r="C21" s="2" t="s">
        <v>171</v>
      </c>
      <c r="D21" s="2" t="s">
        <v>193</v>
      </c>
      <c r="E21" s="2">
        <v>1</v>
      </c>
      <c r="F21" s="4">
        <v>80</v>
      </c>
      <c r="G21" s="2">
        <v>3</v>
      </c>
      <c r="H21" s="2">
        <v>15</v>
      </c>
      <c r="I21" s="2">
        <v>10</v>
      </c>
      <c r="J21" s="2">
        <f t="shared" si="1"/>
        <v>13.5</v>
      </c>
      <c r="K21" s="2">
        <v>5</v>
      </c>
      <c r="L21" s="3">
        <f>F21+IF((I21&gt;G21),IF(K21&gt;G21,(K21-G21)*H21,0),IF(K21&gt;I21,(K21-I21),0)*J21)</f>
        <v>110</v>
      </c>
      <c r="M21" s="5">
        <f>IF(L21&lt;'Marketplace Rules'!$A$4,'Marketplace Rules'!$B$4,IF(L21&lt;'Marketplace Rules'!$A$5,'Marketplace Rules'!$B$5,IF(L21&lt;'Marketplace Rules'!$A$6,'Marketplace Rules'!$B$6,'Marketplace Rules'!$B$7)))-1</f>
        <v>0.14999999999999991</v>
      </c>
      <c r="N21" s="4">
        <v>149</v>
      </c>
    </row>
    <row r="22" spans="1:14" ht="28.5" x14ac:dyDescent="0.45">
      <c r="A22" s="2" t="s">
        <v>53</v>
      </c>
      <c r="B22" s="2" t="s">
        <v>54</v>
      </c>
      <c r="C22" s="2" t="s">
        <v>171</v>
      </c>
      <c r="D22" s="2" t="s">
        <v>194</v>
      </c>
      <c r="E22" s="2">
        <v>1</v>
      </c>
      <c r="F22" s="4">
        <v>70</v>
      </c>
      <c r="G22" s="2">
        <v>3</v>
      </c>
      <c r="H22" s="2">
        <v>10</v>
      </c>
      <c r="I22" s="2">
        <v>10</v>
      </c>
      <c r="J22" s="2">
        <f t="shared" si="1"/>
        <v>9</v>
      </c>
      <c r="K22" s="2">
        <v>5</v>
      </c>
      <c r="L22" s="3">
        <f>F22+IF((I22&gt;G22),IF(K22&gt;G22,(K22-G22)*H22,0),IF(K22&gt;I22,(K22-I22),0)*J22)</f>
        <v>90</v>
      </c>
      <c r="M22" s="5">
        <f>IF(L22&lt;'Marketplace Rules'!$A$4,'Marketplace Rules'!$B$4,IF(L22&lt;'Marketplace Rules'!$A$5,'Marketplace Rules'!$B$5,IF(L22&lt;'Marketplace Rules'!$A$6,'Marketplace Rules'!$B$6,'Marketplace Rules'!$B$7)))-1</f>
        <v>0.14999999999999991</v>
      </c>
      <c r="N22" s="4">
        <v>129</v>
      </c>
    </row>
    <row r="23" spans="1:14" ht="28.5" x14ac:dyDescent="0.45">
      <c r="A23" s="2" t="s">
        <v>55</v>
      </c>
      <c r="B23" s="2" t="s">
        <v>56</v>
      </c>
      <c r="C23" s="2" t="s">
        <v>171</v>
      </c>
      <c r="D23" s="2" t="s">
        <v>195</v>
      </c>
      <c r="E23" s="2">
        <v>1</v>
      </c>
      <c r="F23" s="4">
        <v>80</v>
      </c>
      <c r="G23" s="2">
        <v>1</v>
      </c>
      <c r="H23" s="2">
        <v>35</v>
      </c>
      <c r="I23" s="2">
        <v>5</v>
      </c>
      <c r="J23" s="2">
        <f t="shared" si="1"/>
        <v>31.5</v>
      </c>
      <c r="K23" s="2">
        <v>5</v>
      </c>
      <c r="L23" s="3">
        <f>F23+IF((I23&gt;G23),IF(K23&gt;G23,(K23-G23)*H23,0),IF(K23&gt;I23,(K23-I23),0)*J23)</f>
        <v>220</v>
      </c>
      <c r="M23" s="5">
        <f>IF(L23&lt;'Marketplace Rules'!$A$4,'Marketplace Rules'!$B$4,IF(L23&lt;'Marketplace Rules'!$A$5,'Marketplace Rules'!$B$5,IF(L23&lt;'Marketplace Rules'!$A$6,'Marketplace Rules'!$B$6,'Marketplace Rules'!$B$7)))-1</f>
        <v>0.14999999999999991</v>
      </c>
      <c r="N23" s="4">
        <v>149</v>
      </c>
    </row>
    <row r="24" spans="1:14" x14ac:dyDescent="0.45">
      <c r="A24" s="2" t="s">
        <v>57</v>
      </c>
      <c r="B24" s="2" t="s">
        <v>58</v>
      </c>
      <c r="C24" s="2" t="s">
        <v>171</v>
      </c>
      <c r="D24" s="2" t="s">
        <v>196</v>
      </c>
      <c r="E24" s="2">
        <v>1</v>
      </c>
      <c r="F24" s="4">
        <v>80</v>
      </c>
      <c r="G24" s="2">
        <v>1</v>
      </c>
      <c r="H24" s="2">
        <v>45</v>
      </c>
      <c r="I24" s="2">
        <v>4</v>
      </c>
      <c r="J24" s="2">
        <f t="shared" si="1"/>
        <v>40.5</v>
      </c>
      <c r="K24" s="2">
        <v>5</v>
      </c>
      <c r="L24" s="3">
        <f>F24+IF((I24&gt;G24),IF(K24&gt;G24,(K24-G24)*H24,0),IF(K24&gt;I24,(K24-I24),0)*J24)</f>
        <v>260</v>
      </c>
      <c r="M24" s="5">
        <f>IF(L24&lt;'Marketplace Rules'!$A$4,'Marketplace Rules'!$B$4,IF(L24&lt;'Marketplace Rules'!$A$5,'Marketplace Rules'!$B$5,IF(L24&lt;'Marketplace Rules'!$A$6,'Marketplace Rules'!$B$6,'Marketplace Rules'!$B$7)))-1</f>
        <v>0.14999999999999991</v>
      </c>
      <c r="N24" s="4">
        <v>149</v>
      </c>
    </row>
    <row r="25" spans="1:14" s="11" customFormat="1" ht="28.5" hidden="1" x14ac:dyDescent="0.45">
      <c r="A25" s="10" t="s">
        <v>59</v>
      </c>
      <c r="B25" s="10" t="s">
        <v>60</v>
      </c>
      <c r="C25" s="2" t="s">
        <v>171</v>
      </c>
      <c r="D25" s="10" t="s">
        <v>205</v>
      </c>
      <c r="E25" s="10">
        <v>1</v>
      </c>
      <c r="F25" s="12">
        <v>90</v>
      </c>
      <c r="G25" s="10">
        <v>1</v>
      </c>
      <c r="H25" s="10" t="s">
        <v>61</v>
      </c>
      <c r="I25" s="10" t="s">
        <v>62</v>
      </c>
      <c r="J25" s="10"/>
      <c r="K25" s="10"/>
      <c r="M25" s="5">
        <f>IF(L25&lt;'Marketplace Rules'!$A$4,'Marketplace Rules'!$B$4,IF(L25&lt;'Marketplace Rules'!$A$5,'Marketplace Rules'!$B$5,IF(L25&lt;'Marketplace Rules'!$A$6,'Marketplace Rules'!$B$6,'Marketplace Rules'!$B$7)))-1</f>
        <v>0.14999999999999991</v>
      </c>
      <c r="N25" s="12">
        <v>179</v>
      </c>
    </row>
    <row r="26" spans="1:14" x14ac:dyDescent="0.45">
      <c r="A26" s="2" t="s">
        <v>63</v>
      </c>
      <c r="B26" s="2" t="s">
        <v>64</v>
      </c>
      <c r="C26" s="2" t="s">
        <v>171</v>
      </c>
      <c r="D26" s="2" t="s">
        <v>198</v>
      </c>
      <c r="E26" s="2">
        <v>1</v>
      </c>
      <c r="F26" s="4">
        <v>80</v>
      </c>
      <c r="G26" s="2">
        <v>1</v>
      </c>
      <c r="H26" s="2">
        <v>60</v>
      </c>
      <c r="I26" s="2">
        <v>5</v>
      </c>
      <c r="J26" s="2">
        <f t="shared" ref="J26:J28" si="2">H26*0.9</f>
        <v>54</v>
      </c>
      <c r="K26" s="2">
        <v>5</v>
      </c>
      <c r="L26" s="3">
        <f>F26+IF((I26&gt;G26),IF(K26&gt;G26,(K26-G26)*H26,0),IF(K26&gt;I26,(K26-I26),0)*J26)</f>
        <v>320</v>
      </c>
      <c r="M26" s="5">
        <f>IF(L26&lt;'Marketplace Rules'!$A$4,'Marketplace Rules'!$B$4,IF(L26&lt;'Marketplace Rules'!$A$5,'Marketplace Rules'!$B$5,IF(L26&lt;'Marketplace Rules'!$A$6,'Marketplace Rules'!$B$6,'Marketplace Rules'!$B$7)))-1</f>
        <v>0.14999999999999991</v>
      </c>
      <c r="N26" s="4">
        <v>149</v>
      </c>
    </row>
    <row r="27" spans="1:14" ht="28.5" x14ac:dyDescent="0.45">
      <c r="A27" s="2" t="s">
        <v>65</v>
      </c>
      <c r="B27" s="2" t="s">
        <v>66</v>
      </c>
      <c r="C27" s="2" t="s">
        <v>171</v>
      </c>
      <c r="D27" s="2" t="s">
        <v>199</v>
      </c>
      <c r="E27" s="2">
        <v>1</v>
      </c>
      <c r="F27" s="4">
        <v>80</v>
      </c>
      <c r="G27" s="2">
        <v>1</v>
      </c>
      <c r="H27" s="2">
        <v>35</v>
      </c>
      <c r="I27" s="2">
        <v>5</v>
      </c>
      <c r="J27" s="2">
        <f t="shared" si="2"/>
        <v>31.5</v>
      </c>
      <c r="K27" s="2">
        <v>5</v>
      </c>
      <c r="L27" s="3">
        <f>F27+IF((I27&gt;G27),IF(K27&gt;G27,(K27-G27)*H27,0),IF(K27&gt;I27,(K27-I27),0)*J27)</f>
        <v>220</v>
      </c>
      <c r="M27" s="5">
        <f>IF(L27&lt;'Marketplace Rules'!$A$4,'Marketplace Rules'!$B$4,IF(L27&lt;'Marketplace Rules'!$A$5,'Marketplace Rules'!$B$5,IF(L27&lt;'Marketplace Rules'!$A$6,'Marketplace Rules'!$B$6,'Marketplace Rules'!$B$7)))-1</f>
        <v>0.14999999999999991</v>
      </c>
      <c r="N27" s="4">
        <v>149</v>
      </c>
    </row>
    <row r="28" spans="1:14" ht="28.5" x14ac:dyDescent="0.45">
      <c r="A28" s="2" t="s">
        <v>67</v>
      </c>
      <c r="B28" s="2" t="s">
        <v>68</v>
      </c>
      <c r="C28" s="2" t="s">
        <v>171</v>
      </c>
      <c r="D28" s="2" t="s">
        <v>200</v>
      </c>
      <c r="E28" s="2">
        <v>1</v>
      </c>
      <c r="F28" s="4">
        <v>70</v>
      </c>
      <c r="G28" s="2">
        <v>2</v>
      </c>
      <c r="H28" s="2">
        <v>10</v>
      </c>
      <c r="I28" s="2">
        <v>10</v>
      </c>
      <c r="J28" s="2">
        <f t="shared" si="2"/>
        <v>9</v>
      </c>
      <c r="K28" s="2">
        <v>5</v>
      </c>
      <c r="L28" s="3">
        <f>F28+IF((I28&gt;G28),IF(K28&gt;G28,(K28-G28)*H28,0),IF(K28&gt;I28,(K28-I28),0)*J28)</f>
        <v>100</v>
      </c>
      <c r="M28" s="5">
        <f>IF(L28&lt;'Marketplace Rules'!$A$4,'Marketplace Rules'!$B$4,IF(L28&lt;'Marketplace Rules'!$A$5,'Marketplace Rules'!$B$5,IF(L28&lt;'Marketplace Rules'!$A$6,'Marketplace Rules'!$B$6,'Marketplace Rules'!$B$7)))-1</f>
        <v>0.14999999999999991</v>
      </c>
      <c r="N28" s="4">
        <v>129</v>
      </c>
    </row>
    <row r="29" spans="1:14" ht="28.5" x14ac:dyDescent="0.45">
      <c r="A29" s="2" t="s">
        <v>69</v>
      </c>
      <c r="B29" s="2" t="s">
        <v>70</v>
      </c>
      <c r="C29" s="2" t="s">
        <v>171</v>
      </c>
      <c r="D29" s="2" t="s">
        <v>215</v>
      </c>
      <c r="E29" s="2">
        <v>1</v>
      </c>
      <c r="F29" s="4">
        <v>175</v>
      </c>
      <c r="G29" s="2">
        <v>1</v>
      </c>
      <c r="H29" s="2">
        <v>175</v>
      </c>
      <c r="I29" s="2" t="s">
        <v>71</v>
      </c>
      <c r="J29" s="2"/>
      <c r="K29" s="2"/>
      <c r="M29" s="5">
        <f>IF(L29&lt;'Marketplace Rules'!$A$4,'Marketplace Rules'!$B$4,IF(L29&lt;'Marketplace Rules'!$A$5,'Marketplace Rules'!$B$5,IF(L29&lt;'Marketplace Rules'!$A$6,'Marketplace Rules'!$B$6,'Marketplace Rules'!$B$7)))-1</f>
        <v>0.14999999999999991</v>
      </c>
      <c r="N29" s="4">
        <v>299</v>
      </c>
    </row>
    <row r="30" spans="1:14" ht="28.5" x14ac:dyDescent="0.45">
      <c r="A30" s="2" t="s">
        <v>72</v>
      </c>
      <c r="B30" s="2" t="s">
        <v>73</v>
      </c>
      <c r="C30" s="2" t="s">
        <v>171</v>
      </c>
      <c r="D30" s="2" t="s">
        <v>206</v>
      </c>
      <c r="E30" s="2">
        <v>1</v>
      </c>
      <c r="F30" s="4">
        <v>120</v>
      </c>
      <c r="G30" s="2">
        <v>150</v>
      </c>
      <c r="H30" s="2">
        <v>0.4</v>
      </c>
      <c r="I30" s="2">
        <v>300</v>
      </c>
      <c r="J30" s="2">
        <f t="shared" ref="J30:J32" si="3">H30*0.9</f>
        <v>0.36000000000000004</v>
      </c>
      <c r="K30" s="2">
        <v>5</v>
      </c>
      <c r="L30" s="3">
        <f>F30+IF((I30&gt;G30),IF(K30&gt;G30,(K30-G30)*H30,0),IF(K30&gt;I30,(K30-I30),0)*J30)</f>
        <v>120</v>
      </c>
      <c r="M30" s="5">
        <f>IF(L30&lt;'Marketplace Rules'!$A$4,'Marketplace Rules'!$B$4,IF(L30&lt;'Marketplace Rules'!$A$5,'Marketplace Rules'!$B$5,IF(L30&lt;'Marketplace Rules'!$A$6,'Marketplace Rules'!$B$6,'Marketplace Rules'!$B$7)))-1</f>
        <v>0.14999999999999991</v>
      </c>
      <c r="N30" s="4">
        <v>199</v>
      </c>
    </row>
    <row r="31" spans="1:14" ht="28.5" x14ac:dyDescent="0.45">
      <c r="A31" s="2" t="s">
        <v>74</v>
      </c>
      <c r="B31" s="2" t="s">
        <v>75</v>
      </c>
      <c r="C31" s="2" t="s">
        <v>171</v>
      </c>
      <c r="D31" s="2" t="s">
        <v>184</v>
      </c>
      <c r="E31" s="2"/>
      <c r="F31" s="4">
        <v>150</v>
      </c>
      <c r="G31" s="2">
        <v>1000</v>
      </c>
      <c r="H31" s="2">
        <v>0.1</v>
      </c>
      <c r="I31" s="2">
        <v>5000</v>
      </c>
      <c r="J31" s="2">
        <f t="shared" si="3"/>
        <v>9.0000000000000011E-2</v>
      </c>
      <c r="K31" s="2">
        <v>5</v>
      </c>
      <c r="L31" s="3">
        <f>F31+IF((I31&gt;G31),IF(K31&gt;G31,(K31-G31)*H31,0),IF(K31&gt;I31,(K31-I31),0)*J31)</f>
        <v>150</v>
      </c>
      <c r="M31" s="5">
        <f>IF(L31&lt;'Marketplace Rules'!$A$4,'Marketplace Rules'!$B$4,IF(L31&lt;'Marketplace Rules'!$A$5,'Marketplace Rules'!$B$5,IF(L31&lt;'Marketplace Rules'!$A$6,'Marketplace Rules'!$B$6,'Marketplace Rules'!$B$7)))-1</f>
        <v>0.14999999999999991</v>
      </c>
      <c r="N31" s="4">
        <v>249</v>
      </c>
    </row>
    <row r="32" spans="1:14" ht="28.5" x14ac:dyDescent="0.45">
      <c r="A32" s="2" t="s">
        <v>76</v>
      </c>
      <c r="B32" s="2" t="s">
        <v>77</v>
      </c>
      <c r="C32" s="2" t="s">
        <v>171</v>
      </c>
      <c r="D32" s="2" t="s">
        <v>201</v>
      </c>
      <c r="E32" s="2"/>
      <c r="F32" s="4">
        <v>120</v>
      </c>
      <c r="G32" s="2">
        <v>5</v>
      </c>
      <c r="H32" s="2">
        <v>10</v>
      </c>
      <c r="I32" s="2">
        <v>20</v>
      </c>
      <c r="J32" s="2">
        <f t="shared" si="3"/>
        <v>9</v>
      </c>
      <c r="K32" s="2">
        <v>5</v>
      </c>
      <c r="L32" s="3">
        <f>F32+IF((I32&gt;G32),IF(K32&gt;G32,(K32-G32)*H32,0),IF(K32&gt;I32,(K32-I32),0)*J32)</f>
        <v>120</v>
      </c>
      <c r="M32" s="5">
        <f>IF(L32&lt;'Marketplace Rules'!$A$4,'Marketplace Rules'!$B$4,IF(L32&lt;'Marketplace Rules'!$A$5,'Marketplace Rules'!$B$5,IF(L32&lt;'Marketplace Rules'!$A$6,'Marketplace Rules'!$B$6,'Marketplace Rules'!$B$7)))-1</f>
        <v>0.14999999999999991</v>
      </c>
      <c r="N32" s="4">
        <v>199</v>
      </c>
    </row>
    <row r="33" spans="1:14" s="11" customFormat="1" ht="28.5" hidden="1" x14ac:dyDescent="0.45">
      <c r="A33" s="10" t="s">
        <v>78</v>
      </c>
      <c r="B33" s="10" t="s">
        <v>79</v>
      </c>
      <c r="C33" s="10" t="s">
        <v>171</v>
      </c>
      <c r="D33" s="10" t="s">
        <v>13</v>
      </c>
      <c r="E33" s="10"/>
      <c r="F33" s="12">
        <v>150</v>
      </c>
      <c r="G33" s="10">
        <v>3</v>
      </c>
      <c r="H33" s="10" t="s">
        <v>80</v>
      </c>
      <c r="I33" s="10" t="s">
        <v>81</v>
      </c>
      <c r="J33" s="10"/>
      <c r="K33" s="10"/>
      <c r="M33" s="5">
        <f>IF(L33&lt;'Marketplace Rules'!$A$4,'Marketplace Rules'!$B$4,IF(L33&lt;'Marketplace Rules'!$A$5,'Marketplace Rules'!$B$5,IF(L33&lt;'Marketplace Rules'!$A$6,'Marketplace Rules'!$B$6,'Marketplace Rules'!$B$7)))-1</f>
        <v>0.14999999999999991</v>
      </c>
      <c r="N33" s="12">
        <v>249</v>
      </c>
    </row>
    <row r="34" spans="1:14" x14ac:dyDescent="0.45">
      <c r="A34" s="2" t="s">
        <v>82</v>
      </c>
      <c r="B34" s="2" t="s">
        <v>83</v>
      </c>
      <c r="C34" s="2" t="s">
        <v>171</v>
      </c>
      <c r="D34" s="2" t="s">
        <v>202</v>
      </c>
      <c r="E34" s="2"/>
      <c r="F34" s="4">
        <v>80</v>
      </c>
      <c r="G34" s="2">
        <v>3</v>
      </c>
      <c r="H34" s="2">
        <v>15</v>
      </c>
      <c r="I34" s="2">
        <v>20</v>
      </c>
      <c r="J34" s="2">
        <f t="shared" ref="J34:J35" si="4">H34*0.9</f>
        <v>13.5</v>
      </c>
      <c r="K34" s="2">
        <v>5</v>
      </c>
      <c r="L34" s="3">
        <f>F34+IF((I34&gt;G34),IF(K34&gt;G34,(K34-G34)*H34,0),IF(K34&gt;I34,(K34-I34),0)*J34)</f>
        <v>110</v>
      </c>
      <c r="M34" s="5">
        <f>IF(L34&lt;'Marketplace Rules'!$A$4,'Marketplace Rules'!$B$4,IF(L34&lt;'Marketplace Rules'!$A$5,'Marketplace Rules'!$B$5,IF(L34&lt;'Marketplace Rules'!$A$6,'Marketplace Rules'!$B$6,'Marketplace Rules'!$B$7)))-1</f>
        <v>0.14999999999999991</v>
      </c>
      <c r="N34" s="4">
        <v>149</v>
      </c>
    </row>
    <row r="35" spans="1:14" ht="28.5" x14ac:dyDescent="0.45">
      <c r="A35" s="2" t="s">
        <v>84</v>
      </c>
      <c r="B35" s="2" t="s">
        <v>85</v>
      </c>
      <c r="C35" s="2" t="s">
        <v>171</v>
      </c>
      <c r="D35" s="2" t="s">
        <v>184</v>
      </c>
      <c r="E35" s="2"/>
      <c r="F35" s="4">
        <v>150</v>
      </c>
      <c r="G35" s="2">
        <v>100</v>
      </c>
      <c r="H35" s="2">
        <v>1</v>
      </c>
      <c r="I35" s="2">
        <v>500</v>
      </c>
      <c r="J35" s="2">
        <f t="shared" si="4"/>
        <v>0.9</v>
      </c>
      <c r="K35" s="2">
        <v>5</v>
      </c>
      <c r="L35" s="3">
        <f>F35+IF((I35&gt;G35),IF(K35&gt;G35,(K35-G35)*H35,0),IF(K35&gt;I35,(K35-I35),0)*J35)</f>
        <v>150</v>
      </c>
      <c r="M35" s="5">
        <f>IF(L35&lt;'Marketplace Rules'!$A$4,'Marketplace Rules'!$B$4,IF(L35&lt;'Marketplace Rules'!$A$5,'Marketplace Rules'!$B$5,IF(L35&lt;'Marketplace Rules'!$A$6,'Marketplace Rules'!$B$6,'Marketplace Rules'!$B$7)))-1</f>
        <v>0.14999999999999991</v>
      </c>
      <c r="N35" s="4">
        <v>249</v>
      </c>
    </row>
    <row r="36" spans="1:14" ht="28.5" hidden="1" x14ac:dyDescent="0.45">
      <c r="A36" s="2" t="s">
        <v>86</v>
      </c>
      <c r="B36" s="2" t="s">
        <v>87</v>
      </c>
      <c r="C36" s="2" t="s">
        <v>171</v>
      </c>
      <c r="D36" s="2" t="s">
        <v>207</v>
      </c>
      <c r="E36" s="2"/>
      <c r="F36" s="4">
        <v>150</v>
      </c>
      <c r="G36" s="2" t="s">
        <v>88</v>
      </c>
      <c r="H36" s="2">
        <v>80</v>
      </c>
      <c r="I36" s="2" t="s">
        <v>89</v>
      </c>
      <c r="J36" s="2"/>
      <c r="K36" s="2"/>
      <c r="M36" s="5">
        <f>IF(L36&lt;'Marketplace Rules'!$A$4,'Marketplace Rules'!$B$4,IF(L36&lt;'Marketplace Rules'!$A$5,'Marketplace Rules'!$B$5,IF(L36&lt;'Marketplace Rules'!$A$6,'Marketplace Rules'!$B$6,'Marketplace Rules'!$B$7)))-1</f>
        <v>0.14999999999999991</v>
      </c>
      <c r="N36" s="4">
        <v>249</v>
      </c>
    </row>
    <row r="37" spans="1:14" ht="28.5" x14ac:dyDescent="0.45">
      <c r="A37" s="2" t="s">
        <v>90</v>
      </c>
      <c r="B37" s="2" t="s">
        <v>91</v>
      </c>
      <c r="C37" s="2" t="s">
        <v>171</v>
      </c>
      <c r="D37" s="2" t="s">
        <v>193</v>
      </c>
      <c r="E37" s="2"/>
      <c r="F37" s="4">
        <v>80</v>
      </c>
      <c r="G37" s="2" t="s">
        <v>92</v>
      </c>
      <c r="H37" s="2">
        <v>50</v>
      </c>
      <c r="I37" s="2">
        <v>5</v>
      </c>
      <c r="J37" s="2">
        <f t="shared" ref="J37" si="5">H37*0.9</f>
        <v>45</v>
      </c>
      <c r="K37" s="2">
        <v>5</v>
      </c>
      <c r="L37" s="3">
        <f>F37+IF((I37&gt;G37),IF(K37&gt;G37,(K37-G37)*H37,0),IF(K37&gt;I37,(K37-I37),0)*J37)</f>
        <v>80</v>
      </c>
      <c r="M37" s="5">
        <f>IF(L37&lt;'Marketplace Rules'!$A$4,'Marketplace Rules'!$B$4,IF(L37&lt;'Marketplace Rules'!$A$5,'Marketplace Rules'!$B$5,IF(L37&lt;'Marketplace Rules'!$A$6,'Marketplace Rules'!$B$6,'Marketplace Rules'!$B$7)))-1</f>
        <v>0.14999999999999991</v>
      </c>
      <c r="N37" s="4">
        <v>149</v>
      </c>
    </row>
    <row r="38" spans="1:14" s="11" customFormat="1" ht="28.5" hidden="1" x14ac:dyDescent="0.45">
      <c r="A38" s="10" t="s">
        <v>93</v>
      </c>
      <c r="B38" s="10" t="s">
        <v>94</v>
      </c>
      <c r="C38" s="2" t="s">
        <v>171</v>
      </c>
      <c r="D38" s="10" t="s">
        <v>197</v>
      </c>
      <c r="E38" s="10"/>
      <c r="F38" s="12">
        <v>175</v>
      </c>
      <c r="G38" s="10" t="s">
        <v>95</v>
      </c>
      <c r="H38" s="10" t="s">
        <v>96</v>
      </c>
      <c r="I38" s="10" t="s">
        <v>97</v>
      </c>
      <c r="J38" s="10"/>
      <c r="K38" s="10"/>
      <c r="M38" s="5">
        <f>IF(L38&lt;'Marketplace Rules'!$A$4,'Marketplace Rules'!$B$4,IF(L38&lt;'Marketplace Rules'!$A$5,'Marketplace Rules'!$B$5,IF(L38&lt;'Marketplace Rules'!$A$6,'Marketplace Rules'!$B$6,'Marketplace Rules'!$B$7)))-1</f>
        <v>0.14999999999999991</v>
      </c>
      <c r="N38" s="12">
        <v>299</v>
      </c>
    </row>
    <row r="39" spans="1:14" s="11" customFormat="1" ht="28.5" hidden="1" x14ac:dyDescent="0.45">
      <c r="A39" s="10" t="s">
        <v>98</v>
      </c>
      <c r="B39" s="10" t="s">
        <v>99</v>
      </c>
      <c r="C39" s="2" t="s">
        <v>171</v>
      </c>
      <c r="D39" s="10" t="s">
        <v>203</v>
      </c>
      <c r="E39" s="10"/>
      <c r="F39" s="12">
        <v>175</v>
      </c>
      <c r="G39" s="10" t="s">
        <v>100</v>
      </c>
      <c r="H39" s="10" t="s">
        <v>101</v>
      </c>
      <c r="I39" s="10" t="s">
        <v>102</v>
      </c>
      <c r="J39" s="10"/>
      <c r="K39" s="10"/>
      <c r="M39" s="5">
        <f>IF(L39&lt;'Marketplace Rules'!$A$4,'Marketplace Rules'!$B$4,IF(L39&lt;'Marketplace Rules'!$A$5,'Marketplace Rules'!$B$5,IF(L39&lt;'Marketplace Rules'!$A$6,'Marketplace Rules'!$B$6,'Marketplace Rules'!$B$7)))-1</f>
        <v>0.14999999999999991</v>
      </c>
      <c r="N39" s="12">
        <v>299</v>
      </c>
    </row>
    <row r="40" spans="1:14" ht="28.5" x14ac:dyDescent="0.45">
      <c r="A40" s="2" t="s">
        <v>103</v>
      </c>
      <c r="B40" s="2" t="s">
        <v>104</v>
      </c>
      <c r="C40" s="2" t="s">
        <v>171</v>
      </c>
      <c r="D40" s="2" t="s">
        <v>184</v>
      </c>
      <c r="E40" s="2"/>
      <c r="F40" s="4">
        <v>250</v>
      </c>
      <c r="G40" s="2">
        <v>30</v>
      </c>
      <c r="H40" s="2">
        <v>6.5</v>
      </c>
      <c r="I40" s="2">
        <v>100</v>
      </c>
      <c r="J40" s="2">
        <f t="shared" ref="J40:J41" si="6">H40*0.9</f>
        <v>5.8500000000000005</v>
      </c>
      <c r="K40" s="2">
        <v>5</v>
      </c>
      <c r="L40" s="3">
        <f>F40+IF((I40&gt;G40),IF(K40&gt;G40,(K40-G40)*H40,0),IF(K40&gt;I40,(K40-I40),0)*J40)</f>
        <v>250</v>
      </c>
      <c r="M40" s="5">
        <f>IF(L40&lt;'Marketplace Rules'!$A$4,'Marketplace Rules'!$B$4,IF(L40&lt;'Marketplace Rules'!$A$5,'Marketplace Rules'!$B$5,IF(L40&lt;'Marketplace Rules'!$A$6,'Marketplace Rules'!$B$6,'Marketplace Rules'!$B$7)))-1</f>
        <v>0.14999999999999991</v>
      </c>
      <c r="N40" s="4">
        <v>399</v>
      </c>
    </row>
    <row r="41" spans="1:14" ht="28.5" x14ac:dyDescent="0.45">
      <c r="A41" s="2" t="s">
        <v>105</v>
      </c>
      <c r="B41" s="2" t="s">
        <v>106</v>
      </c>
      <c r="C41" s="2" t="s">
        <v>171</v>
      </c>
      <c r="D41" s="2" t="s">
        <v>194</v>
      </c>
      <c r="E41" s="2"/>
      <c r="F41" s="4">
        <v>70</v>
      </c>
      <c r="G41" s="2">
        <v>3</v>
      </c>
      <c r="H41" s="2">
        <v>10</v>
      </c>
      <c r="I41" s="2">
        <v>10</v>
      </c>
      <c r="J41" s="2">
        <f t="shared" si="6"/>
        <v>9</v>
      </c>
      <c r="K41" s="2">
        <v>5</v>
      </c>
      <c r="L41" s="3">
        <f>F41+IF((I41&gt;G41),IF(K41&gt;G41,(K41-G41)*H41,0),IF(K41&gt;I41,(K41-I41),0)*J41)</f>
        <v>90</v>
      </c>
      <c r="M41" s="5">
        <f>IF(L41&lt;'Marketplace Rules'!$A$4,'Marketplace Rules'!$B$4,IF(L41&lt;'Marketplace Rules'!$A$5,'Marketplace Rules'!$B$5,IF(L41&lt;'Marketplace Rules'!$A$6,'Marketplace Rules'!$B$6,'Marketplace Rules'!$B$7)))-1</f>
        <v>0.14999999999999991</v>
      </c>
      <c r="N41" s="4">
        <v>129</v>
      </c>
    </row>
    <row r="42" spans="1:14" s="11" customFormat="1" ht="28.5" x14ac:dyDescent="0.45">
      <c r="A42" s="10" t="s">
        <v>107</v>
      </c>
      <c r="B42" s="10" t="s">
        <v>108</v>
      </c>
      <c r="C42" s="10" t="s">
        <v>171</v>
      </c>
      <c r="D42" s="10" t="s">
        <v>198</v>
      </c>
      <c r="E42" s="10"/>
      <c r="F42" s="12">
        <v>80</v>
      </c>
      <c r="G42" s="10" t="s">
        <v>109</v>
      </c>
      <c r="H42" s="10">
        <v>40</v>
      </c>
      <c r="I42" s="10" t="s">
        <v>110</v>
      </c>
      <c r="J42" s="10"/>
      <c r="K42" s="10"/>
      <c r="M42" s="5">
        <f>IF(L42&lt;'Marketplace Rules'!$A$4,'Marketplace Rules'!$B$4,IF(L42&lt;'Marketplace Rules'!$A$5,'Marketplace Rules'!$B$5,IF(L42&lt;'Marketplace Rules'!$A$6,'Marketplace Rules'!$B$6,'Marketplace Rules'!$B$7)))-1</f>
        <v>0.14999999999999991</v>
      </c>
      <c r="N42" s="12">
        <v>149</v>
      </c>
    </row>
    <row r="43" spans="1:14" ht="28.5" x14ac:dyDescent="0.45">
      <c r="A43" s="2" t="s">
        <v>111</v>
      </c>
      <c r="B43" s="2" t="s">
        <v>112</v>
      </c>
      <c r="C43" s="2" t="s">
        <v>171</v>
      </c>
      <c r="D43" s="2" t="s">
        <v>208</v>
      </c>
      <c r="E43" s="2">
        <v>1</v>
      </c>
      <c r="F43" s="4">
        <v>275</v>
      </c>
      <c r="G43" s="2">
        <v>1</v>
      </c>
      <c r="H43" s="2">
        <v>275</v>
      </c>
      <c r="I43" s="2" t="s">
        <v>71</v>
      </c>
      <c r="J43" s="2"/>
      <c r="K43" s="2"/>
      <c r="M43" s="5">
        <f>IF(L43&lt;'Marketplace Rules'!$A$4,'Marketplace Rules'!$B$4,IF(L43&lt;'Marketplace Rules'!$A$5,'Marketplace Rules'!$B$5,IF(L43&lt;'Marketplace Rules'!$A$6,'Marketplace Rules'!$B$6,'Marketplace Rules'!$B$7)))-1</f>
        <v>0.14999999999999991</v>
      </c>
      <c r="N43" s="4">
        <v>449</v>
      </c>
    </row>
    <row r="44" spans="1:14" ht="28.5" x14ac:dyDescent="0.45">
      <c r="A44" s="2" t="s">
        <v>113</v>
      </c>
      <c r="B44" s="2" t="s">
        <v>114</v>
      </c>
      <c r="C44" s="2" t="s">
        <v>171</v>
      </c>
      <c r="D44" s="2" t="s">
        <v>204</v>
      </c>
      <c r="E44" s="2">
        <v>1</v>
      </c>
      <c r="F44" s="4">
        <v>120</v>
      </c>
      <c r="G44" s="2">
        <v>3</v>
      </c>
      <c r="H44" s="2">
        <v>20</v>
      </c>
      <c r="I44" s="2">
        <v>20</v>
      </c>
      <c r="J44" s="2">
        <f t="shared" ref="J44:J47" si="7">H44*0.9</f>
        <v>18</v>
      </c>
      <c r="K44" s="2">
        <v>5</v>
      </c>
      <c r="L44" s="3">
        <f>F44+IF((I44&gt;G44),IF(K44&gt;G44,(K44-G44)*H44,0),IF(K44&gt;I44,(K44-I44),0)*J44)</f>
        <v>160</v>
      </c>
      <c r="M44" s="5">
        <f>IF(L44&lt;'Marketplace Rules'!$A$4,'Marketplace Rules'!$B$4,IF(L44&lt;'Marketplace Rules'!$A$5,'Marketplace Rules'!$B$5,IF(L44&lt;'Marketplace Rules'!$A$6,'Marketplace Rules'!$B$6,'Marketplace Rules'!$B$7)))-1</f>
        <v>0.14999999999999991</v>
      </c>
      <c r="N44" s="4">
        <v>199</v>
      </c>
    </row>
    <row r="45" spans="1:14" ht="28.5" x14ac:dyDescent="0.45">
      <c r="A45" s="2" t="s">
        <v>115</v>
      </c>
      <c r="B45" s="2" t="s">
        <v>116</v>
      </c>
      <c r="C45" s="2" t="s">
        <v>171</v>
      </c>
      <c r="D45" s="2" t="s">
        <v>211</v>
      </c>
      <c r="E45" s="2">
        <v>1</v>
      </c>
      <c r="F45" s="4">
        <v>175</v>
      </c>
      <c r="G45" s="2">
        <v>25</v>
      </c>
      <c r="H45" s="2">
        <v>5</v>
      </c>
      <c r="I45" s="2">
        <v>100</v>
      </c>
      <c r="J45" s="2">
        <f t="shared" si="7"/>
        <v>4.5</v>
      </c>
      <c r="K45" s="2">
        <v>5</v>
      </c>
      <c r="L45" s="3">
        <f>F45+IF((I45&gt;G45),IF(K45&gt;G45,(K45-G45)*H45,0),IF(K45&gt;I45,(K45-I45),0)*J45)</f>
        <v>175</v>
      </c>
      <c r="M45" s="5">
        <f>IF(L45&lt;'Marketplace Rules'!$A$4,'Marketplace Rules'!$B$4,IF(L45&lt;'Marketplace Rules'!$A$5,'Marketplace Rules'!$B$5,IF(L45&lt;'Marketplace Rules'!$A$6,'Marketplace Rules'!$B$6,'Marketplace Rules'!$B$7)))-1</f>
        <v>0.14999999999999991</v>
      </c>
      <c r="N45" s="4">
        <v>299</v>
      </c>
    </row>
    <row r="46" spans="1:14" ht="28.5" x14ac:dyDescent="0.45">
      <c r="A46" s="2" t="s">
        <v>117</v>
      </c>
      <c r="B46" s="2" t="s">
        <v>118</v>
      </c>
      <c r="C46" s="2" t="s">
        <v>171</v>
      </c>
      <c r="D46" s="2" t="s">
        <v>209</v>
      </c>
      <c r="E46" s="2">
        <v>1</v>
      </c>
      <c r="F46" s="4">
        <v>150</v>
      </c>
      <c r="G46" s="2">
        <v>1</v>
      </c>
      <c r="H46" s="2">
        <v>150</v>
      </c>
      <c r="I46" s="2" t="s">
        <v>71</v>
      </c>
      <c r="J46" s="2">
        <f t="shared" si="7"/>
        <v>135</v>
      </c>
      <c r="K46" s="2">
        <v>5</v>
      </c>
      <c r="L46" s="3">
        <f>F46+IF((I46&gt;G46),IF(K46&gt;G46,(K46-G46)*H46,0),IF(K46&gt;I46,(K46-I46),0)*J46)</f>
        <v>750</v>
      </c>
      <c r="M46" s="5">
        <f>IF(L46&lt;'Marketplace Rules'!$A$4,'Marketplace Rules'!$B$4,IF(L46&lt;'Marketplace Rules'!$A$5,'Marketplace Rules'!$B$5,IF(L46&lt;'Marketplace Rules'!$A$6,'Marketplace Rules'!$B$6,'Marketplace Rules'!$B$7)))-1</f>
        <v>0.10000000000000009</v>
      </c>
      <c r="N46" s="4">
        <v>249</v>
      </c>
    </row>
    <row r="47" spans="1:14" ht="28.5" x14ac:dyDescent="0.45">
      <c r="A47" s="2" t="s">
        <v>119</v>
      </c>
      <c r="B47" s="2" t="s">
        <v>120</v>
      </c>
      <c r="C47" s="2" t="s">
        <v>171</v>
      </c>
      <c r="D47" s="2" t="s">
        <v>210</v>
      </c>
      <c r="E47" s="2">
        <v>1</v>
      </c>
      <c r="F47" s="4">
        <v>150</v>
      </c>
      <c r="G47" s="2">
        <v>1</v>
      </c>
      <c r="H47" s="2">
        <v>150</v>
      </c>
      <c r="I47" s="2" t="s">
        <v>71</v>
      </c>
      <c r="J47" s="2">
        <f t="shared" si="7"/>
        <v>135</v>
      </c>
      <c r="K47" s="2">
        <v>5</v>
      </c>
      <c r="L47" s="3">
        <f>F47+IF((I47&gt;G47),IF(K47&gt;G47,(K47-G47)*H47,0),IF(K47&gt;I47,(K47-I47),0)*J47)</f>
        <v>750</v>
      </c>
      <c r="M47" s="5">
        <f>IF(L47&lt;'Marketplace Rules'!$A$4,'Marketplace Rules'!$B$4,IF(L47&lt;'Marketplace Rules'!$A$5,'Marketplace Rules'!$B$5,IF(L47&lt;'Marketplace Rules'!$A$6,'Marketplace Rules'!$B$6,'Marketplace Rules'!$B$7)))-1</f>
        <v>0.10000000000000009</v>
      </c>
      <c r="N47" s="4">
        <v>249</v>
      </c>
    </row>
    <row r="48" spans="1:14" ht="28.5" x14ac:dyDescent="0.45">
      <c r="A48" s="2" t="s">
        <v>121</v>
      </c>
      <c r="B48" s="2" t="s">
        <v>122</v>
      </c>
      <c r="C48" s="2" t="s">
        <v>171</v>
      </c>
      <c r="D48" s="2" t="s">
        <v>176</v>
      </c>
      <c r="E48" s="2">
        <v>1</v>
      </c>
      <c r="F48" s="4">
        <v>80</v>
      </c>
      <c r="G48" s="2">
        <v>1</v>
      </c>
      <c r="H48" s="2">
        <v>45</v>
      </c>
      <c r="I48" s="2">
        <v>5</v>
      </c>
      <c r="J48" s="2">
        <f t="shared" ref="J48:J49" si="8">H48*0.9</f>
        <v>40.5</v>
      </c>
      <c r="K48" s="2">
        <v>5</v>
      </c>
      <c r="L48" s="3">
        <f>F48+IF((I48&gt;G48),IF(K48&gt;G48,(K48-G48)*H48,0),IF(K48&gt;I48,(K48-I48),0)*J48)</f>
        <v>260</v>
      </c>
      <c r="M48" s="5">
        <f>IF(L48&lt;'Marketplace Rules'!$A$4,'Marketplace Rules'!$B$4,IF(L48&lt;'Marketplace Rules'!$A$5,'Marketplace Rules'!$B$5,IF(L48&lt;'Marketplace Rules'!$A$6,'Marketplace Rules'!$B$6,'Marketplace Rules'!$B$7)))-1</f>
        <v>0.14999999999999991</v>
      </c>
      <c r="N48" s="4">
        <v>149</v>
      </c>
    </row>
    <row r="49" spans="1:14" ht="28.5" x14ac:dyDescent="0.45">
      <c r="A49" s="2" t="s">
        <v>123</v>
      </c>
      <c r="B49" s="2" t="s">
        <v>124</v>
      </c>
      <c r="C49" s="2" t="s">
        <v>171</v>
      </c>
      <c r="D49" s="2" t="s">
        <v>206</v>
      </c>
      <c r="E49" s="2">
        <v>1</v>
      </c>
      <c r="F49" s="4">
        <v>80</v>
      </c>
      <c r="G49" s="2">
        <v>25</v>
      </c>
      <c r="H49" s="2">
        <v>1.5</v>
      </c>
      <c r="I49" s="2">
        <v>100</v>
      </c>
      <c r="J49" s="2">
        <f t="shared" si="8"/>
        <v>1.35</v>
      </c>
      <c r="K49" s="2">
        <v>5</v>
      </c>
      <c r="L49" s="3">
        <f>F49+IF((I49&gt;G49),IF(K49&gt;G49,(K49-G49)*H49,0),IF(K49&gt;I49,(K49-I49),0)*J49)</f>
        <v>80</v>
      </c>
      <c r="M49" s="5">
        <f>IF(L49&lt;'Marketplace Rules'!$A$4,'Marketplace Rules'!$B$4,IF(L49&lt;'Marketplace Rules'!$A$5,'Marketplace Rules'!$B$5,IF(L49&lt;'Marketplace Rules'!$A$6,'Marketplace Rules'!$B$6,'Marketplace Rules'!$B$7)))-1</f>
        <v>0.14999999999999991</v>
      </c>
      <c r="N49" s="4">
        <v>149</v>
      </c>
    </row>
    <row r="50" spans="1:14" ht="28.5" x14ac:dyDescent="0.45">
      <c r="A50" s="2" t="s">
        <v>125</v>
      </c>
      <c r="B50" s="2" t="s">
        <v>126</v>
      </c>
      <c r="C50" s="2" t="s">
        <v>171</v>
      </c>
      <c r="D50" s="2" t="s">
        <v>212</v>
      </c>
      <c r="E50" s="2">
        <v>1</v>
      </c>
      <c r="F50" s="4">
        <v>250</v>
      </c>
      <c r="G50" s="2">
        <v>1</v>
      </c>
      <c r="H50" s="2">
        <v>175</v>
      </c>
      <c r="I50" s="10" t="s">
        <v>127</v>
      </c>
      <c r="J50" s="2"/>
      <c r="K50" s="2"/>
      <c r="M50" s="5">
        <f>IF(L50&lt;'Marketplace Rules'!$A$4,'Marketplace Rules'!$B$4,IF(L50&lt;'Marketplace Rules'!$A$5,'Marketplace Rules'!$B$5,IF(L50&lt;'Marketplace Rules'!$A$6,'Marketplace Rules'!$B$6,'Marketplace Rules'!$B$7)))-1</f>
        <v>0.14999999999999991</v>
      </c>
      <c r="N50" s="4">
        <v>399</v>
      </c>
    </row>
    <row r="51" spans="1:14" ht="28.5" x14ac:dyDescent="0.45">
      <c r="A51" s="2" t="s">
        <v>128</v>
      </c>
      <c r="B51" s="2" t="s">
        <v>129</v>
      </c>
      <c r="C51" s="2" t="s">
        <v>171</v>
      </c>
      <c r="D51" s="2" t="s">
        <v>213</v>
      </c>
      <c r="E51" s="2">
        <v>1</v>
      </c>
      <c r="F51" s="4">
        <v>80</v>
      </c>
      <c r="G51" s="2">
        <v>1</v>
      </c>
      <c r="H51" s="2">
        <v>40</v>
      </c>
      <c r="I51" s="2" t="s">
        <v>71</v>
      </c>
      <c r="J51" s="2">
        <f t="shared" ref="J51" si="9">H51*0.9</f>
        <v>36</v>
      </c>
      <c r="K51" s="2">
        <v>5</v>
      </c>
      <c r="L51" s="3">
        <f>F51+IF((I51&gt;G51),IF(K51&gt;G51,(K51-G51)*H51,0),IF(K51&gt;I51,(K51-I51),0)*J51)</f>
        <v>240</v>
      </c>
      <c r="M51" s="5">
        <f>IF(L51&lt;'Marketplace Rules'!$A$4,'Marketplace Rules'!$B$4,IF(L51&lt;'Marketplace Rules'!$A$5,'Marketplace Rules'!$B$5,IF(L51&lt;'Marketplace Rules'!$A$6,'Marketplace Rules'!$B$6,'Marketplace Rules'!$B$7)))-1</f>
        <v>0.14999999999999991</v>
      </c>
      <c r="N51" s="4">
        <v>149</v>
      </c>
    </row>
    <row r="52" spans="1:14" s="11" customFormat="1" ht="28.5" hidden="1" x14ac:dyDescent="0.45">
      <c r="A52" s="10" t="s">
        <v>130</v>
      </c>
      <c r="B52" s="10" t="s">
        <v>131</v>
      </c>
      <c r="C52" s="10" t="s">
        <v>171</v>
      </c>
      <c r="D52" s="10"/>
      <c r="E52" s="10"/>
      <c r="F52" s="12">
        <v>120</v>
      </c>
      <c r="G52" s="10" t="s">
        <v>132</v>
      </c>
      <c r="H52" s="10" t="s">
        <v>61</v>
      </c>
      <c r="I52" s="10" t="s">
        <v>62</v>
      </c>
      <c r="J52" s="10"/>
      <c r="K52" s="10"/>
      <c r="M52" s="5">
        <f>IF(L52&lt;'Marketplace Rules'!$A$4,'Marketplace Rules'!$B$4,IF(L52&lt;'Marketplace Rules'!$A$5,'Marketplace Rules'!$B$5,IF(L52&lt;'Marketplace Rules'!$A$6,'Marketplace Rules'!$B$6,'Marketplace Rules'!$B$7)))-1</f>
        <v>0.14999999999999991</v>
      </c>
      <c r="N52" s="12">
        <v>199</v>
      </c>
    </row>
    <row r="53" spans="1:14" ht="28.5" x14ac:dyDescent="0.45">
      <c r="A53" s="2" t="s">
        <v>133</v>
      </c>
      <c r="B53" s="2" t="s">
        <v>134</v>
      </c>
      <c r="C53" s="2" t="s">
        <v>171</v>
      </c>
      <c r="D53" s="2" t="s">
        <v>214</v>
      </c>
      <c r="E53" s="2">
        <v>1</v>
      </c>
      <c r="F53" s="4">
        <v>200</v>
      </c>
      <c r="G53" s="2">
        <v>1</v>
      </c>
      <c r="H53" s="2">
        <v>200</v>
      </c>
      <c r="I53" s="2" t="s">
        <v>71</v>
      </c>
      <c r="J53" s="2">
        <f t="shared" ref="J53" si="10">H53*0.9</f>
        <v>180</v>
      </c>
      <c r="K53" s="2">
        <v>5</v>
      </c>
      <c r="L53" s="3">
        <f>F53+IF((I53&gt;G53),IF(K53&gt;G53,(K53-G53)*H53,0),IF(K53&gt;I53,(K53-I53),0)*J53)</f>
        <v>1000</v>
      </c>
      <c r="M53" s="5">
        <f>IF(L53&lt;'Marketplace Rules'!$A$4,'Marketplace Rules'!$B$4,IF(L53&lt;'Marketplace Rules'!$A$5,'Marketplace Rules'!$B$5,IF(L53&lt;'Marketplace Rules'!$A$6,'Marketplace Rules'!$B$6,'Marketplace Rules'!$B$7)))-1</f>
        <v>0.10000000000000009</v>
      </c>
      <c r="N53" s="4">
        <v>349</v>
      </c>
    </row>
  </sheetData>
  <autoFilter ref="A1:O53" xr:uid="{D133A4BD-5554-43C0-96C4-1B81CE5C8B6C}">
    <filterColumn colId="3">
      <filters>
        <filter val="Bar"/>
        <filter val="Detector"/>
        <filter val="Device"/>
        <filter val="Door"/>
        <filter val="Fan"/>
        <filter val="Faucet"/>
        <filter val="Fixture"/>
        <filter val="Hole"/>
        <filter val="Hour"/>
        <filter val="Item"/>
        <filter val="Ladder"/>
        <filter val="LF"/>
        <filter val="Linear Feet"/>
        <filter val="Lock"/>
        <filter val="Mailbox"/>
        <filter val="Mantel"/>
        <filter val="Panel"/>
        <filter val="Pet Door"/>
        <filter val="Picket"/>
        <filter val="pieces"/>
        <filter val="Screen"/>
        <filter val="Shelve"/>
        <filter val="Sq-Ft"/>
        <filter val="Staircase"/>
        <filter val="Swing"/>
        <filter val="Tile"/>
        <filter val="Toilet"/>
        <filter val="Trim Board"/>
        <filter val="Tv"/>
        <filter val="Unit"/>
        <filter val="vent"/>
        <filter val="Window"/>
        <filter val="Windows/doors"/>
      </filters>
    </filterColumn>
    <filterColumn colId="8">
      <filters>
        <filter val="1"/>
        <filter val="10"/>
        <filter val="100"/>
        <filter val="11"/>
        <filter val="20"/>
        <filter val="200"/>
        <filter val="25"/>
        <filter val="3"/>
        <filter val="300+ LF discount"/>
        <filter val="4"/>
        <filter val="5"/>
        <filter val="500"/>
        <filter val="5000"/>
        <filter val="Bundle pricing"/>
        <filter val="Large projects quoted"/>
        <filter val="Multi-closet pricing"/>
        <filter val="Multi-door pricing"/>
        <filter val="Multi-section discount"/>
        <filter val="Multi-stair discounts"/>
        <filter val="N/A"/>
        <filter val="Room discount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E237-CA01-41D0-994D-512B08E247D2}">
  <dimension ref="A1:D11"/>
  <sheetViews>
    <sheetView workbookViewId="0">
      <selection activeCell="F1" sqref="F1:I1048576"/>
    </sheetView>
  </sheetViews>
  <sheetFormatPr defaultRowHeight="14.25" x14ac:dyDescent="0.45"/>
  <sheetData>
    <row r="1" spans="1:4" ht="23.25" x14ac:dyDescent="0.45">
      <c r="A1" s="6" t="s">
        <v>135</v>
      </c>
    </row>
    <row r="3" spans="1:4" ht="42.75" x14ac:dyDescent="0.45">
      <c r="A3" s="1" t="s">
        <v>0</v>
      </c>
      <c r="B3" s="1" t="s">
        <v>136</v>
      </c>
      <c r="C3" s="1" t="s">
        <v>137</v>
      </c>
      <c r="D3" s="1" t="s">
        <v>138</v>
      </c>
    </row>
    <row r="4" spans="1:4" ht="42.75" x14ac:dyDescent="0.45">
      <c r="A4" s="2" t="s">
        <v>139</v>
      </c>
      <c r="B4" s="2" t="s">
        <v>140</v>
      </c>
      <c r="C4" s="2" t="s">
        <v>141</v>
      </c>
      <c r="D4" s="2" t="s">
        <v>18</v>
      </c>
    </row>
    <row r="5" spans="1:4" ht="28.5" x14ac:dyDescent="0.45">
      <c r="A5" s="2" t="s">
        <v>142</v>
      </c>
      <c r="B5" s="2" t="s">
        <v>143</v>
      </c>
      <c r="C5" s="2" t="s">
        <v>144</v>
      </c>
      <c r="D5" s="2" t="s">
        <v>18</v>
      </c>
    </row>
    <row r="6" spans="1:4" ht="28.5" x14ac:dyDescent="0.45">
      <c r="A6" s="2" t="s">
        <v>145</v>
      </c>
      <c r="B6" s="2" t="s">
        <v>146</v>
      </c>
      <c r="C6" s="2" t="s">
        <v>147</v>
      </c>
      <c r="D6" s="2" t="s">
        <v>18</v>
      </c>
    </row>
    <row r="7" spans="1:4" ht="28.5" x14ac:dyDescent="0.45">
      <c r="A7" s="2" t="s">
        <v>148</v>
      </c>
      <c r="B7" s="2" t="s">
        <v>149</v>
      </c>
      <c r="C7" s="2" t="s">
        <v>150</v>
      </c>
      <c r="D7" s="2" t="s">
        <v>151</v>
      </c>
    </row>
    <row r="8" spans="1:4" ht="57" x14ac:dyDescent="0.45">
      <c r="A8" s="2" t="s">
        <v>152</v>
      </c>
      <c r="B8" s="2" t="s">
        <v>153</v>
      </c>
      <c r="C8" s="2" t="s">
        <v>154</v>
      </c>
      <c r="D8" s="2" t="s">
        <v>151</v>
      </c>
    </row>
    <row r="9" spans="1:4" ht="57" x14ac:dyDescent="0.45">
      <c r="A9" s="2" t="s">
        <v>155</v>
      </c>
      <c r="B9" s="2" t="s">
        <v>156</v>
      </c>
      <c r="C9" s="2" t="s">
        <v>157</v>
      </c>
      <c r="D9" s="2" t="s">
        <v>151</v>
      </c>
    </row>
    <row r="10" spans="1:4" ht="42.75" x14ac:dyDescent="0.45">
      <c r="A10" s="2" t="s">
        <v>158</v>
      </c>
      <c r="B10" s="2" t="s">
        <v>159</v>
      </c>
      <c r="C10" s="2" t="s">
        <v>160</v>
      </c>
      <c r="D10" s="2" t="s">
        <v>151</v>
      </c>
    </row>
    <row r="11" spans="1:4" ht="57" x14ac:dyDescent="0.45">
      <c r="A11" s="2" t="s">
        <v>161</v>
      </c>
      <c r="B11" s="2" t="s">
        <v>162</v>
      </c>
      <c r="C11" s="2" t="s">
        <v>163</v>
      </c>
      <c r="D1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3B69-CB64-4127-B73B-5CBE4AD68894}">
  <dimension ref="A1:B7"/>
  <sheetViews>
    <sheetView workbookViewId="0">
      <selection activeCell="B7" sqref="B7"/>
    </sheetView>
  </sheetViews>
  <sheetFormatPr defaultRowHeight="14.25" x14ac:dyDescent="0.45"/>
  <cols>
    <col min="1" max="1" width="16" customWidth="1"/>
  </cols>
  <sheetData>
    <row r="1" spans="1:2" ht="17.649999999999999" x14ac:dyDescent="0.45">
      <c r="A1" s="7" t="s">
        <v>164</v>
      </c>
    </row>
    <row r="3" spans="1:2" ht="42.75" x14ac:dyDescent="0.45">
      <c r="A3" s="1" t="s">
        <v>165</v>
      </c>
      <c r="B3" s="1" t="s">
        <v>166</v>
      </c>
    </row>
    <row r="4" spans="1:2" x14ac:dyDescent="0.45">
      <c r="A4" s="2">
        <v>150</v>
      </c>
      <c r="B4" s="2">
        <v>1.1499999999999999</v>
      </c>
    </row>
    <row r="5" spans="1:2" x14ac:dyDescent="0.45">
      <c r="A5" s="2">
        <v>500</v>
      </c>
      <c r="B5" s="2">
        <v>1.1499999999999999</v>
      </c>
    </row>
    <row r="6" spans="1:2" x14ac:dyDescent="0.45">
      <c r="A6" s="2">
        <v>2000</v>
      </c>
      <c r="B6" s="2">
        <v>1.1000000000000001</v>
      </c>
    </row>
    <row r="7" spans="1:2" x14ac:dyDescent="0.45">
      <c r="A7" s="2">
        <v>2000</v>
      </c>
      <c r="B7" s="2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prices</vt:lpstr>
      <vt:lpstr>QUoted services</vt:lpstr>
      <vt:lpstr>Marketplace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Jhaveri</dc:creator>
  <cp:lastModifiedBy>Haresh Jhaveri</cp:lastModifiedBy>
  <dcterms:created xsi:type="dcterms:W3CDTF">2026-07-16T04:01:03Z</dcterms:created>
  <dcterms:modified xsi:type="dcterms:W3CDTF">2026-07-16T16:59:02Z</dcterms:modified>
</cp:coreProperties>
</file>